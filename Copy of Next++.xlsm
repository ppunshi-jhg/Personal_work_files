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ohnholland-my.sharepoint.com/personal/ppunshi_jhg_com_au/Documents/Desktop/"/>
    </mc:Choice>
  </mc:AlternateContent>
  <xr:revisionPtr revIDLastSave="12" documentId="8_{AD29CD72-85B1-4910-92A7-C277FAA2D47E}" xr6:coauthVersionLast="47" xr6:coauthVersionMax="47" xr10:uidLastSave="{7C2217B2-2A73-46C8-853A-DFFA833380D3}"/>
  <bookViews>
    <workbookView xWindow="-120" yWindow="-120" windowWidth="38640" windowHeight="15720" xr2:uid="{42EB3B85-5E59-4B3D-92DA-F70D0305524F}"/>
  </bookViews>
  <sheets>
    <sheet name="Data" sheetId="15" r:id="rId1"/>
    <sheet name="Projects" sheetId="7" r:id="rId2"/>
    <sheet name="Artefact Types" sheetId="4" r:id="rId3"/>
    <sheet name="Views" sheetId="10" r:id="rId4"/>
    <sheet name="Baselines" sheetId="11" r:id="rId5"/>
    <sheet name="System Data" sheetId="6" r:id="rId6"/>
    <sheet name="Lookups" sheetId="3" r:id="rId7"/>
    <sheet name="Data (SS)" sheetId="16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'Artefact Types'!$A$1:$B$115</definedName>
    <definedName name="_xlnm._FilterDatabase" localSheetId="4" hidden="1">Baselines!$A$1:$D$143</definedName>
    <definedName name="_xlnm._FilterDatabase" localSheetId="0" hidden="1">Data!$D$504:$F$507</definedName>
    <definedName name="_xlnm._FilterDatabase" localSheetId="7" hidden="1">'Data (SS)'!$A$2:$J$675</definedName>
    <definedName name="_xlnm._FilterDatabase" localSheetId="1" hidden="1">Projects!$A$1:$G$33</definedName>
    <definedName name="_xlnm._FilterDatabase" localSheetId="3" hidden="1">Views!$A$1:$F$144</definedName>
    <definedName name="Artefacts">Lookups!$B$2:$B$9</definedName>
    <definedName name="Exports_Base">Lookups!$E$2:$E$3</definedName>
    <definedName name="Projects">Lookups!$A$2:$A$6</definedName>
    <definedName name="VandV_Phase">Lookups!$C$2:$C$4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3" i="10" l="1"/>
  <c r="E63" i="10"/>
  <c r="F64" i="10"/>
  <c r="E64" i="10"/>
  <c r="F62" i="10"/>
  <c r="E62" i="10"/>
  <c r="D1605" i="15" l="1"/>
  <c r="I674" i="16"/>
  <c r="D674" i="16" s="1"/>
  <c r="I627" i="16"/>
  <c r="D627" i="16" s="1"/>
  <c r="I607" i="16"/>
  <c r="D607" i="16" s="1"/>
  <c r="I606" i="16"/>
  <c r="D606" i="16" s="1"/>
  <c r="I605" i="16"/>
  <c r="D605" i="16" s="1"/>
  <c r="I604" i="16"/>
  <c r="D604" i="16" s="1"/>
  <c r="E603" i="16"/>
  <c r="D603" i="16"/>
  <c r="E602" i="16"/>
  <c r="D602" i="16"/>
  <c r="E601" i="16"/>
  <c r="D601" i="16"/>
  <c r="E600" i="16"/>
  <c r="D600" i="16"/>
  <c r="E599" i="16"/>
  <c r="D599" i="16"/>
  <c r="E598" i="16"/>
  <c r="D598" i="16"/>
  <c r="E597" i="16"/>
  <c r="D597" i="16"/>
  <c r="E596" i="16"/>
  <c r="D596" i="16"/>
  <c r="E595" i="16"/>
  <c r="D595" i="16"/>
  <c r="E594" i="16"/>
  <c r="E593" i="16"/>
  <c r="D593" i="16"/>
  <c r="E592" i="16"/>
  <c r="D592" i="16"/>
  <c r="E591" i="16"/>
  <c r="D591" i="16"/>
  <c r="E590" i="16"/>
  <c r="D590" i="16"/>
  <c r="E589" i="16"/>
  <c r="D589" i="16"/>
  <c r="E588" i="16"/>
  <c r="D588" i="16"/>
  <c r="E587" i="16"/>
  <c r="D587" i="16"/>
  <c r="E586" i="16"/>
  <c r="D586" i="16"/>
  <c r="E585" i="16"/>
  <c r="D585" i="16"/>
  <c r="E584" i="16"/>
  <c r="D584" i="16"/>
  <c r="E583" i="16"/>
  <c r="D583" i="16"/>
  <c r="E582" i="16"/>
  <c r="D582" i="16"/>
  <c r="E581" i="16"/>
  <c r="D581" i="16"/>
  <c r="E580" i="16"/>
  <c r="D580" i="16"/>
  <c r="E579" i="16"/>
  <c r="E578" i="16"/>
  <c r="E577" i="16"/>
  <c r="E576" i="16"/>
  <c r="E574" i="16"/>
  <c r="D574" i="16"/>
  <c r="E573" i="16"/>
  <c r="D573" i="16"/>
  <c r="E572" i="16"/>
  <c r="D572" i="16"/>
  <c r="E571" i="16"/>
  <c r="D571" i="16"/>
  <c r="E570" i="16"/>
  <c r="D570" i="16"/>
  <c r="E569" i="16"/>
  <c r="D569" i="16"/>
  <c r="E568" i="16"/>
  <c r="D568" i="16"/>
  <c r="E567" i="16"/>
  <c r="D567" i="16"/>
  <c r="E566" i="16"/>
  <c r="D566" i="16"/>
  <c r="E565" i="16"/>
  <c r="D565" i="16"/>
  <c r="E564" i="16"/>
  <c r="D564" i="16"/>
  <c r="E563" i="16"/>
  <c r="D563" i="16"/>
  <c r="E562" i="16"/>
  <c r="D562" i="16"/>
  <c r="I559" i="16"/>
  <c r="I558" i="16"/>
  <c r="I557" i="16"/>
  <c r="I542" i="16"/>
  <c r="I541" i="16"/>
  <c r="D541" i="16" s="1"/>
  <c r="I540" i="16"/>
  <c r="D540" i="16" s="1"/>
  <c r="I524" i="16"/>
  <c r="I523" i="16"/>
  <c r="D523" i="16" s="1"/>
  <c r="I522" i="16"/>
  <c r="D522" i="16" s="1"/>
  <c r="I509" i="16"/>
  <c r="D509" i="16" s="1"/>
  <c r="I508" i="16"/>
  <c r="D508" i="16" s="1"/>
  <c r="I490" i="16"/>
  <c r="D490" i="16" s="1"/>
  <c r="I472" i="16"/>
  <c r="D472" i="16" s="1"/>
  <c r="I471" i="16"/>
  <c r="D471" i="16" s="1"/>
  <c r="I453" i="16"/>
  <c r="D453" i="16" s="1"/>
  <c r="I328" i="16"/>
  <c r="D328" i="16" s="1"/>
  <c r="I327" i="16"/>
  <c r="D327" i="16" s="1"/>
  <c r="I310" i="16"/>
  <c r="D310" i="16" s="1"/>
  <c r="I309" i="16"/>
  <c r="D309" i="16" s="1"/>
  <c r="I308" i="16"/>
  <c r="D308" i="16" s="1"/>
  <c r="E306" i="16"/>
  <c r="E304" i="16"/>
  <c r="E303" i="16"/>
  <c r="E302" i="16"/>
  <c r="E301" i="16"/>
  <c r="I294" i="16"/>
  <c r="D294" i="16" s="1"/>
  <c r="I293" i="16"/>
  <c r="D293" i="16" s="1"/>
  <c r="I292" i="16"/>
  <c r="D292" i="16" s="1"/>
  <c r="I276" i="16"/>
  <c r="D276" i="16" s="1"/>
  <c r="I248" i="16"/>
  <c r="D248" i="16" s="1"/>
  <c r="I213" i="16"/>
  <c r="D213" i="16" s="1"/>
  <c r="I208" i="16"/>
  <c r="D208" i="16" s="1"/>
  <c r="I207" i="16"/>
  <c r="D207" i="16" s="1"/>
  <c r="I178" i="16"/>
  <c r="D178" i="16" s="1"/>
  <c r="I177" i="16"/>
  <c r="D177" i="16" s="1"/>
  <c r="I170" i="16"/>
  <c r="D170" i="16" s="1"/>
  <c r="I169" i="16"/>
  <c r="D169" i="16" s="1"/>
  <c r="I154" i="16"/>
  <c r="D154" i="16" s="1"/>
  <c r="I153" i="16"/>
  <c r="D153" i="16" s="1"/>
  <c r="I130" i="16"/>
  <c r="D130" i="16" s="1"/>
  <c r="I129" i="16"/>
  <c r="D129" i="16" s="1"/>
  <c r="I128" i="16"/>
  <c r="D128" i="16" s="1"/>
  <c r="I114" i="16"/>
  <c r="D114" i="16" s="1"/>
  <c r="I113" i="16"/>
  <c r="D113" i="16" s="1"/>
  <c r="I112" i="16"/>
  <c r="D112" i="16" s="1"/>
  <c r="I98" i="16"/>
  <c r="D98" i="16" s="1"/>
  <c r="I97" i="16"/>
  <c r="D97" i="16" s="1"/>
  <c r="I68" i="16"/>
  <c r="D68" i="16" s="1"/>
  <c r="I67" i="16"/>
  <c r="D67" i="16" s="1"/>
  <c r="I63" i="16"/>
  <c r="D63" i="16" s="1"/>
  <c r="I62" i="16"/>
  <c r="D62" i="16" s="1"/>
  <c r="I33" i="16"/>
  <c r="D33" i="16" s="1"/>
  <c r="I32" i="16"/>
  <c r="D32" i="16" s="1"/>
  <c r="I23" i="16"/>
  <c r="D23" i="16" s="1"/>
  <c r="I20" i="16"/>
  <c r="D20" i="16" s="1"/>
  <c r="I5" i="15" l="1"/>
  <c r="D5" i="15" s="1"/>
  <c r="I6" i="15"/>
  <c r="D6" i="15" s="1"/>
  <c r="I40" i="15"/>
  <c r="D40" i="15" s="1"/>
  <c r="I41" i="15"/>
  <c r="D41" i="15" s="1"/>
  <c r="I45" i="15"/>
  <c r="D45" i="15" s="1"/>
  <c r="I46" i="15"/>
  <c r="D46" i="15" s="1"/>
  <c r="I74" i="15"/>
  <c r="D74" i="15" s="1"/>
  <c r="I75" i="15"/>
  <c r="D75" i="15" s="1"/>
  <c r="I97" i="15"/>
  <c r="D97" i="15" s="1"/>
  <c r="I98" i="15"/>
  <c r="D98" i="15" s="1"/>
  <c r="I99" i="15"/>
  <c r="D99" i="15" s="1"/>
  <c r="I116" i="15"/>
  <c r="D116" i="15" s="1"/>
  <c r="I117" i="15"/>
  <c r="D117" i="15" s="1"/>
  <c r="I154" i="15"/>
  <c r="D154" i="15" s="1"/>
  <c r="I155" i="15"/>
  <c r="D155" i="15" s="1"/>
  <c r="I156" i="15"/>
  <c r="D156" i="15" s="1"/>
  <c r="I244" i="15"/>
  <c r="D244" i="15" s="1"/>
  <c r="I245" i="15"/>
  <c r="D245" i="15" s="1"/>
  <c r="I282" i="15"/>
  <c r="D282" i="15" s="1"/>
  <c r="I283" i="15"/>
  <c r="D283" i="15" s="1"/>
  <c r="I284" i="15"/>
  <c r="D284" i="15" s="1"/>
  <c r="I285" i="15"/>
  <c r="D285" i="15" s="1"/>
  <c r="I286" i="15"/>
  <c r="D286" i="15" s="1"/>
  <c r="I317" i="15"/>
  <c r="D317" i="15" s="1"/>
  <c r="I318" i="15"/>
  <c r="D318" i="15" s="1"/>
  <c r="I319" i="15"/>
  <c r="D319" i="15" s="1"/>
  <c r="I369" i="15"/>
  <c r="D369" i="15" s="1"/>
  <c r="I370" i="15"/>
  <c r="D370" i="15" s="1"/>
  <c r="I371" i="15"/>
  <c r="D371" i="15" s="1"/>
  <c r="I372" i="15"/>
  <c r="D372" i="15" s="1"/>
  <c r="I376" i="15"/>
  <c r="D376" i="15" s="1"/>
  <c r="I396" i="15"/>
  <c r="D396" i="15" s="1"/>
  <c r="I432" i="15"/>
  <c r="D432" i="15" s="1"/>
  <c r="D476" i="15"/>
  <c r="D477" i="15"/>
  <c r="D478" i="15"/>
  <c r="D498" i="15"/>
  <c r="D499" i="15"/>
  <c r="D500" i="15"/>
  <c r="D501" i="15"/>
  <c r="D502" i="15"/>
  <c r="D528" i="15"/>
  <c r="D529" i="15"/>
  <c r="D530" i="15"/>
  <c r="D531" i="15"/>
  <c r="D563" i="15"/>
  <c r="D564" i="15"/>
  <c r="D565" i="15"/>
  <c r="D566" i="15"/>
  <c r="D567" i="15"/>
  <c r="D579" i="15"/>
  <c r="D617" i="15"/>
  <c r="D618" i="15"/>
  <c r="D619" i="15"/>
  <c r="D620" i="15"/>
  <c r="D621" i="15"/>
  <c r="D622" i="15"/>
  <c r="D623" i="15"/>
  <c r="D655" i="15"/>
  <c r="D656" i="15"/>
  <c r="D657" i="15"/>
  <c r="D665" i="15"/>
  <c r="D666" i="15"/>
  <c r="I957" i="15"/>
  <c r="D957" i="15" s="1"/>
  <c r="I992" i="15"/>
  <c r="D992" i="15" s="1"/>
  <c r="I993" i="15"/>
  <c r="D993" i="15" s="1"/>
  <c r="I994" i="15"/>
  <c r="D994" i="15" s="1"/>
  <c r="I1011" i="15"/>
  <c r="D1011" i="15" s="1"/>
  <c r="I1036" i="15"/>
  <c r="D1036" i="15" s="1"/>
  <c r="I1065" i="15"/>
  <c r="D1065" i="15" s="1"/>
  <c r="I1066" i="15"/>
  <c r="D1066" i="15" s="1"/>
  <c r="I1067" i="15"/>
  <c r="D1067" i="15" s="1"/>
  <c r="I1103" i="15"/>
  <c r="D1103" i="15" s="1"/>
  <c r="I1104" i="15"/>
  <c r="D1104" i="15" s="1"/>
  <c r="I1105" i="15"/>
  <c r="D1105" i="15" s="1"/>
  <c r="I1106" i="15"/>
  <c r="D1106" i="15" s="1"/>
  <c r="I1107" i="15"/>
  <c r="D1107" i="15" s="1"/>
  <c r="I1108" i="15"/>
  <c r="D1108" i="15" s="1"/>
  <c r="I1109" i="15"/>
  <c r="D1109" i="15" s="1"/>
  <c r="I1110" i="15"/>
  <c r="D1110" i="15" s="1"/>
  <c r="I1111" i="15"/>
  <c r="D1111" i="15" s="1"/>
  <c r="I1112" i="15"/>
  <c r="D1112" i="15" s="1"/>
  <c r="I1113" i="15"/>
  <c r="D1113" i="15" s="1"/>
  <c r="I1138" i="15"/>
  <c r="D1138" i="15" s="1"/>
  <c r="I1139" i="15"/>
  <c r="D1139" i="15" s="1"/>
  <c r="I1140" i="15"/>
  <c r="D1140" i="15" s="1"/>
  <c r="I1141" i="15"/>
  <c r="D1141" i="15" s="1"/>
  <c r="I1142" i="15"/>
  <c r="D1142" i="15" s="1"/>
  <c r="I1159" i="15"/>
  <c r="D1159" i="15" s="1"/>
  <c r="I1160" i="15"/>
  <c r="D1160" i="15" s="1"/>
  <c r="I1161" i="15"/>
  <c r="D1161" i="15" s="1"/>
  <c r="I1183" i="15"/>
  <c r="I1184" i="15"/>
  <c r="I1185" i="15"/>
  <c r="D1185" i="15" s="1"/>
  <c r="I1186" i="15"/>
  <c r="D1186" i="15" s="1"/>
  <c r="I1187" i="15"/>
  <c r="D1187" i="15" s="1"/>
  <c r="I1212" i="15"/>
  <c r="D1212" i="15" s="1"/>
  <c r="I1213" i="15"/>
  <c r="D1213" i="15" s="1"/>
  <c r="I1214" i="15"/>
  <c r="D1214" i="15" s="1"/>
  <c r="I1215" i="15"/>
  <c r="D1215" i="15" s="1"/>
  <c r="I1216" i="15"/>
  <c r="D1216" i="15" s="1"/>
  <c r="I1241" i="15"/>
  <c r="I1242" i="15"/>
  <c r="I1243" i="15"/>
  <c r="I1251" i="15"/>
  <c r="I1287" i="15"/>
  <c r="I1288" i="15"/>
  <c r="D1288" i="15" s="1"/>
  <c r="I1289" i="15"/>
  <c r="D1289" i="15" s="1"/>
  <c r="I1290" i="15"/>
  <c r="D1290" i="15" s="1"/>
  <c r="I1291" i="15"/>
  <c r="D1291" i="15" s="1"/>
  <c r="I1292" i="15"/>
  <c r="D1292" i="15" s="1"/>
  <c r="I1293" i="15"/>
  <c r="D1293" i="15" s="1"/>
  <c r="I1294" i="15"/>
  <c r="D1294" i="15" s="1"/>
  <c r="I1295" i="15"/>
  <c r="D1295" i="15" s="1"/>
  <c r="I1296" i="15"/>
  <c r="D1296" i="15" s="1"/>
  <c r="I1297" i="15"/>
  <c r="I1298" i="15"/>
  <c r="I1323" i="15"/>
  <c r="I1324" i="15"/>
  <c r="I1325" i="15"/>
  <c r="I1326" i="15"/>
  <c r="I1327" i="15"/>
  <c r="I1351" i="15"/>
  <c r="I1352" i="15"/>
  <c r="I1405" i="15"/>
  <c r="I1406" i="15"/>
  <c r="I1407" i="15"/>
  <c r="I1408" i="15"/>
  <c r="D1408" i="15" s="1"/>
  <c r="I1409" i="15"/>
  <c r="D1409" i="15" s="1"/>
  <c r="I1410" i="15"/>
  <c r="D1410" i="15" s="1"/>
  <c r="I1411" i="15"/>
  <c r="I1439" i="15"/>
  <c r="D1439" i="15" s="1"/>
  <c r="I1440" i="15"/>
  <c r="D1440" i="15" s="1"/>
  <c r="I1467" i="15"/>
  <c r="D1467" i="15" s="1"/>
  <c r="I1468" i="15"/>
  <c r="D1468" i="15" s="1"/>
  <c r="I1469" i="15"/>
  <c r="D1469" i="15" s="1"/>
  <c r="I1470" i="15"/>
  <c r="D1470" i="15" s="1"/>
  <c r="I1471" i="15"/>
  <c r="D1471" i="15" s="1"/>
  <c r="I1472" i="15"/>
  <c r="D1472" i="15" s="1"/>
  <c r="I1514" i="15"/>
  <c r="D1514" i="15" s="1"/>
  <c r="I1515" i="15"/>
  <c r="D1515" i="15" s="1"/>
  <c r="I1516" i="15"/>
  <c r="D1516" i="15" s="1"/>
  <c r="I1551" i="15"/>
  <c r="D1551" i="15" s="1"/>
  <c r="I1552" i="15"/>
  <c r="D1552" i="15" s="1"/>
  <c r="I1553" i="15"/>
  <c r="D1553" i="15" s="1"/>
  <c r="I1554" i="15"/>
  <c r="D1554" i="15" s="1"/>
  <c r="I1555" i="15"/>
  <c r="D1555" i="15" s="1"/>
  <c r="I1578" i="15"/>
  <c r="D1578" i="15" s="1"/>
  <c r="I1579" i="15"/>
  <c r="D1579" i="15" s="1"/>
  <c r="I1580" i="15"/>
  <c r="D1580" i="15" s="1"/>
  <c r="I1581" i="15"/>
  <c r="D1581" i="15" s="1"/>
  <c r="I1582" i="15"/>
  <c r="D1582" i="15" s="1"/>
  <c r="I1622" i="15"/>
  <c r="D1622" i="15" s="1"/>
  <c r="I1641" i="15"/>
  <c r="D1641" i="15" s="1"/>
  <c r="I1668" i="15"/>
  <c r="D1668" i="15" s="1"/>
  <c r="E113" i="10" l="1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I869" i="15" s="1"/>
  <c r="D869" i="15" s="1"/>
  <c r="E114" i="10"/>
  <c r="I445" i="16" l="1"/>
  <c r="D445" i="16" s="1"/>
  <c r="I444" i="16"/>
  <c r="D444" i="16" s="1"/>
  <c r="I412" i="16"/>
  <c r="D412" i="16" s="1"/>
  <c r="I411" i="16"/>
  <c r="D411" i="16" s="1"/>
  <c r="F61" i="10"/>
  <c r="I812" i="15" s="1"/>
  <c r="D812" i="15" s="1"/>
  <c r="D17" i="7"/>
  <c r="I859" i="15" l="1"/>
  <c r="D859" i="15" s="1"/>
  <c r="F11" i="10"/>
  <c r="F9" i="10" l="1"/>
  <c r="F70" i="10" l="1"/>
  <c r="F65" i="10"/>
  <c r="F120" i="10"/>
  <c r="F117" i="10"/>
  <c r="F116" i="10"/>
  <c r="F60" i="10"/>
  <c r="F59" i="10"/>
  <c r="F58" i="10"/>
  <c r="F57" i="10"/>
  <c r="F56" i="10"/>
  <c r="F55" i="10"/>
  <c r="F54" i="10"/>
  <c r="F53" i="10"/>
  <c r="F52" i="10"/>
  <c r="E17" i="7"/>
  <c r="E16" i="7"/>
  <c r="D16" i="7"/>
  <c r="I844" i="15" l="1"/>
  <c r="D844" i="15" s="1"/>
  <c r="I813" i="15"/>
  <c r="D813" i="15" s="1"/>
  <c r="I443" i="16"/>
  <c r="D443" i="16" s="1"/>
  <c r="I413" i="16"/>
  <c r="D413" i="16" s="1"/>
  <c r="I730" i="15"/>
  <c r="D730" i="15" s="1"/>
  <c r="I774" i="15"/>
  <c r="D774" i="15" s="1"/>
  <c r="I845" i="15"/>
  <c r="D845" i="15" s="1"/>
  <c r="I811" i="15"/>
  <c r="D811" i="15" s="1"/>
  <c r="I860" i="15"/>
  <c r="D860" i="15" s="1"/>
  <c r="I394" i="16"/>
  <c r="D395" i="16" s="1"/>
  <c r="I365" i="16"/>
  <c r="D366" i="16" s="1"/>
  <c r="I364" i="16"/>
  <c r="D365" i="16" s="1"/>
  <c r="I395" i="16"/>
  <c r="D396" i="16" s="1"/>
  <c r="I775" i="15"/>
  <c r="D775" i="15" s="1"/>
  <c r="I760" i="15"/>
  <c r="D760" i="15" s="1"/>
  <c r="I728" i="15"/>
  <c r="D728" i="15" s="1"/>
  <c r="I759" i="15"/>
  <c r="D759" i="15" s="1"/>
  <c r="I729" i="15"/>
  <c r="D729" i="15" s="1"/>
  <c r="E18" i="7"/>
  <c r="D18" i="7"/>
  <c r="F10" i="10" l="1"/>
  <c r="F144" i="10"/>
  <c r="E144" i="10"/>
  <c r="F143" i="10"/>
  <c r="E143" i="10"/>
  <c r="F142" i="10"/>
  <c r="E142" i="10"/>
  <c r="F141" i="10"/>
  <c r="E141" i="10"/>
  <c r="F140" i="10"/>
  <c r="E140" i="10"/>
  <c r="F7" i="10"/>
  <c r="F6" i="10"/>
  <c r="F5" i="10"/>
  <c r="E7" i="7"/>
  <c r="D7" i="7"/>
  <c r="E6" i="7"/>
  <c r="D6" i="7"/>
  <c r="E5" i="7"/>
  <c r="D5" i="7"/>
  <c r="E4" i="7"/>
  <c r="D4" i="7"/>
  <c r="E29" i="7" l="1"/>
  <c r="D29" i="7"/>
  <c r="E35" i="7"/>
  <c r="D35" i="7"/>
  <c r="E2" i="7"/>
  <c r="D2" i="7"/>
  <c r="F23" i="10" l="1"/>
  <c r="E9" i="7"/>
  <c r="D9" i="7"/>
  <c r="F22" i="10" l="1"/>
  <c r="F18" i="10" l="1"/>
  <c r="F35" i="10"/>
  <c r="F34" i="10"/>
  <c r="F126" i="10"/>
  <c r="F125" i="10"/>
  <c r="E126" i="10"/>
  <c r="E125" i="10"/>
  <c r="F21" i="10"/>
  <c r="F77" i="10" l="1"/>
  <c r="F129" i="10" l="1"/>
  <c r="E129" i="10"/>
  <c r="E11" i="7"/>
  <c r="D11" i="7"/>
  <c r="F26" i="10"/>
  <c r="F113" i="10"/>
  <c r="E28" i="7"/>
  <c r="D28" i="7"/>
  <c r="E34" i="7" l="1"/>
  <c r="D34" i="7"/>
  <c r="F112" i="10"/>
  <c r="F16" i="10" l="1"/>
  <c r="F14" i="10"/>
  <c r="F15" i="10"/>
  <c r="E10" i="7"/>
  <c r="D10" i="7"/>
  <c r="E122" i="10" l="1"/>
  <c r="E123" i="10" l="1"/>
  <c r="E32" i="7"/>
  <c r="D32" i="7"/>
  <c r="E121" i="10"/>
  <c r="E130" i="10"/>
  <c r="D31" i="7" l="1"/>
  <c r="E12" i="7"/>
  <c r="E33" i="7"/>
  <c r="E30" i="7"/>
  <c r="E27" i="7"/>
  <c r="E26" i="7"/>
  <c r="E24" i="7"/>
  <c r="E25" i="7"/>
  <c r="E23" i="7"/>
  <c r="E22" i="7"/>
  <c r="E19" i="7"/>
  <c r="E15" i="7"/>
  <c r="E14" i="7"/>
  <c r="E13" i="7"/>
  <c r="E8" i="7"/>
  <c r="E3" i="7"/>
  <c r="E31" i="7"/>
  <c r="D19" i="7"/>
  <c r="F79" i="10"/>
  <c r="E128" i="10"/>
  <c r="I888" i="15" s="1"/>
  <c r="D888" i="15" s="1"/>
  <c r="E127" i="10"/>
  <c r="E138" i="10"/>
  <c r="E139" i="10"/>
  <c r="E131" i="10"/>
  <c r="I919" i="15" s="1"/>
  <c r="D919" i="15" s="1"/>
  <c r="E136" i="10"/>
  <c r="E135" i="10"/>
  <c r="E124" i="10"/>
  <c r="E132" i="10"/>
  <c r="E137" i="10"/>
  <c r="E134" i="10"/>
  <c r="E133" i="10"/>
  <c r="D30" i="7"/>
  <c r="D12" i="7"/>
  <c r="D33" i="7"/>
  <c r="D25" i="7"/>
  <c r="D24" i="7"/>
  <c r="D27" i="7"/>
  <c r="D26" i="7"/>
  <c r="D23" i="7"/>
  <c r="D22" i="7"/>
  <c r="D15" i="7"/>
  <c r="D14" i="7"/>
  <c r="D13" i="7"/>
  <c r="D8" i="7"/>
  <c r="D3" i="7"/>
  <c r="I692" i="15" l="1"/>
  <c r="D692" i="15" s="1"/>
  <c r="I917" i="15"/>
  <c r="D917" i="15" s="1"/>
  <c r="I918" i="15"/>
  <c r="D918" i="15" s="1"/>
  <c r="I886" i="15"/>
  <c r="D886" i="15" s="1"/>
  <c r="I887" i="15"/>
  <c r="D88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tc={85915A46-85AA-4E3F-B9D0-00107FEE0C8E}</author>
    <author>tc={1BA2C78B-165F-4B8D-BCF5-228E43F83756}</author>
    <author>tc={5BBED8D2-F543-4443-8CC8-DCCA8F937560}</author>
    <author>tc={4FA1F8B6-D543-4D05-BE39-196D6FC39D19}</author>
    <author>tc={649AC719-AF67-4DEC-82BE-3BC8024CA68A}</author>
    <author>tc={B0D408DB-5A63-45A2-B551-3FEE4054115D}</author>
  </authors>
  <commentList>
    <comment ref="D1013" authorId="0" shapeId="0" xr:uid="{85915A46-85AA-4E3F-B9D0-00107FEE0C8E}">
      <text>
        <t>[Threaded comment]
Your version of Excel allows you to read this threaded comment; however, any edits to it will get removed if the file is opened in a newer version of Excel. Learn more: https://go.microsoft.com/fwlink/?linkid=870924
Comment:
    DOORS unique identifier.</t>
      </text>
    </comment>
    <comment ref="D1014" authorId="1" shapeId="0" xr:uid="{1BA2C78B-165F-4B8D-BCF5-228E43F837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requirement source document.</t>
      </text>
    </comment>
    <comment ref="D1016" authorId="2" shapeId="0" xr:uid="{5BBED8D2-F543-4443-8CC8-DCCA8F937560}">
      <text>
        <t>[Threaded comment]
Your version of Excel allows you to read this threaded comment; however, any edits to it will get removed if the file is opened in a newer version of Excel. Learn more: https://go.microsoft.com/fwlink/?linkid=870924
Comment:
    Clause reference of the requirement.</t>
      </text>
    </comment>
    <comment ref="D1017" authorId="3" shapeId="0" xr:uid="{4FA1F8B6-D543-4D05-BE39-196D6FC39D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Administrative Requirement
Context
Heading
Information
Process Requirement
Technical Requirement</t>
      </text>
    </comment>
    <comment ref="D1018" authorId="4" shapeId="0" xr:uid="{649AC719-AF67-4DEC-82BE-3BC8024C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ADCs
BCA/DDA
CoA
Completion
Durability
EMC
Fire &amp; Life Safety
Geotech
Heritage
Human Factors
Interface
ISCA
Lifecycle Costs
RAM
Safety
Security
System</t>
      </text>
    </comment>
    <comment ref="D1020" authorId="5" shapeId="0" xr:uid="{B0D408DB-5A63-45A2-B551-3FEE405411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Low
Medium
High
Regulatory</t>
      </text>
    </comment>
  </commentList>
</comments>
</file>

<file path=xl/sharedStrings.xml><?xml version="1.0" encoding="utf-8"?>
<sst xmlns="http://schemas.openxmlformats.org/spreadsheetml/2006/main" count="13434" uniqueCount="1471">
  <si>
    <t>URI</t>
  </si>
  <si>
    <t>Project</t>
  </si>
  <si>
    <t>Requirement Specification</t>
  </si>
  <si>
    <t>Requirement Specification-Unused</t>
  </si>
  <si>
    <t>Document Register</t>
  </si>
  <si>
    <t>Plan Register</t>
  </si>
  <si>
    <t>Collection</t>
  </si>
  <si>
    <t>RVTM</t>
  </si>
  <si>
    <t>Causes Register</t>
  </si>
  <si>
    <t>Controls Register</t>
  </si>
  <si>
    <t>Hazards Register</t>
  </si>
  <si>
    <t>GCLRS3</t>
  </si>
  <si>
    <t>Projects</t>
  </si>
  <si>
    <t>MTMS2N</t>
  </si>
  <si>
    <t>MAR</t>
  </si>
  <si>
    <t>OTS</t>
  </si>
  <si>
    <t>adc</t>
  </si>
  <si>
    <t>causes</t>
  </si>
  <si>
    <t>controls</t>
  </si>
  <si>
    <t>hazards</t>
  </si>
  <si>
    <t>hf-issues</t>
  </si>
  <si>
    <t>ratm</t>
  </si>
  <si>
    <t>rvtm</t>
  </si>
  <si>
    <t>documents</t>
  </si>
  <si>
    <t>Artefacts</t>
  </si>
  <si>
    <t>V&amp;V Phase</t>
  </si>
  <si>
    <t>design</t>
  </si>
  <si>
    <t>production</t>
  </si>
  <si>
    <t>validation</t>
  </si>
  <si>
    <t>RATM</t>
  </si>
  <si>
    <t>ADC Log</t>
  </si>
  <si>
    <t>BRS</t>
  </si>
  <si>
    <t>Change Log</t>
  </si>
  <si>
    <t>Worklots</t>
  </si>
  <si>
    <t>Engineering Assurance Register</t>
  </si>
  <si>
    <t>Engineering Assurance Register-Not Used</t>
  </si>
  <si>
    <t>HF Issues Register</t>
  </si>
  <si>
    <t>Interface Schedule</t>
  </si>
  <si>
    <t>Principal Design SRS</t>
  </si>
  <si>
    <t>Module Artefact Type</t>
  </si>
  <si>
    <t>TBD</t>
  </si>
  <si>
    <t>VW_oO6GYK1EEeuReJpTmFcOUA</t>
  </si>
  <si>
    <t>VW_oW8oEK1EEeuReJpTmFcOUA</t>
  </si>
  <si>
    <t>VW_obnFoK1EEeuReJpTmFcOUA</t>
  </si>
  <si>
    <t>VW_oNzTIK1EEeuReJpTmFcOUA</t>
  </si>
  <si>
    <t>VW_oT230K1EEeuReJpTmFcOUA</t>
  </si>
  <si>
    <t>VW_oV3C8K1EEeuReJpTmFcOUA</t>
  </si>
  <si>
    <t>VW_oRaAwK1EEeuReJpTmFcOUA</t>
  </si>
  <si>
    <t>VW_6KyXQeiuEeqr-ZefwD8bAg</t>
  </si>
  <si>
    <t>VW_V0cA4eAJEeqr-ZefwD8bAg</t>
  </si>
  <si>
    <t>VW_1AVasdeOEeqr-ZefwD8bAg</t>
  </si>
  <si>
    <t>VW_qgIfAfVhEeqr-ZefwD8bAg</t>
  </si>
  <si>
    <t>VW_bjaw0Ej4EeyMKOtEJXqWrQ</t>
  </si>
  <si>
    <t>VW_09IVsdeOEeqr-ZefwD8bAg</t>
  </si>
  <si>
    <t>VW_1DeOQdeOEeqr-ZefwD8bAg</t>
  </si>
  <si>
    <t>Document Register Aconex</t>
  </si>
  <si>
    <t>VW_Vo3oUEjUEeyMKOtEJXqWrQ</t>
  </si>
  <si>
    <t>VW_l2smgPlvEeudeqPm9gu4MQ</t>
  </si>
  <si>
    <t>View</t>
  </si>
  <si>
    <t>General Requirements View</t>
  </si>
  <si>
    <t>01 Verification-Design</t>
  </si>
  <si>
    <t>02 Verification-Production</t>
  </si>
  <si>
    <t>03 Validation</t>
  </si>
  <si>
    <t>Main</t>
  </si>
  <si>
    <t>Curl</t>
  </si>
  <si>
    <t>Cookie</t>
  </si>
  <si>
    <t>Auth File</t>
  </si>
  <si>
    <t>Modules</t>
  </si>
  <si>
    <t>Output</t>
  </si>
  <si>
    <t>J:\common\Scripting\Perl\DOORS Next</t>
  </si>
  <si>
    <t>Next-Api</t>
  </si>
  <si>
    <t>_3unbUNeNEeqr-ZefwD8bAg</t>
  </si>
  <si>
    <t>_hRfBQK1EEeuReJpTmFcOUA</t>
  </si>
  <si>
    <t>Record Id</t>
  </si>
  <si>
    <t>Heading</t>
  </si>
  <si>
    <t>Attribute</t>
  </si>
  <si>
    <t>Link Type</t>
  </si>
  <si>
    <t>column</t>
  </si>
  <si>
    <t>Package</t>
  </si>
  <si>
    <t>Item</t>
  </si>
  <si>
    <t>Allocation ID</t>
  </si>
  <si>
    <t>ID</t>
  </si>
  <si>
    <t>Requirement Reference</t>
  </si>
  <si>
    <t>satisfies</t>
  </si>
  <si>
    <t>Requirement ID</t>
  </si>
  <si>
    <t>Requirement Clause</t>
  </si>
  <si>
    <t>Requirement Text</t>
  </si>
  <si>
    <t>Primary Text</t>
  </si>
  <si>
    <t>Requirement Type</t>
  </si>
  <si>
    <t>Design Verification Method</t>
  </si>
  <si>
    <t>Design Verification Evidence</t>
  </si>
  <si>
    <t>Document No</t>
  </si>
  <si>
    <t>design verified by</t>
  </si>
  <si>
    <t>Design Verification Status</t>
  </si>
  <si>
    <t>Design Verification Remarks</t>
  </si>
  <si>
    <t>base</t>
  </si>
  <si>
    <t>linkage</t>
  </si>
  <si>
    <t>Requirement Status</t>
  </si>
  <si>
    <t>State (Reqt.)</t>
  </si>
  <si>
    <t>Requirement Category</t>
  </si>
  <si>
    <t>Requirement Owner(s)</t>
  </si>
  <si>
    <t>Owner(Requirement)</t>
  </si>
  <si>
    <t>Risk Rating</t>
  </si>
  <si>
    <t>Proposed V&amp;V Methods</t>
  </si>
  <si>
    <t>satisfied by</t>
  </si>
  <si>
    <t>Comments</t>
  </si>
  <si>
    <t>RVTM(P)</t>
  </si>
  <si>
    <t>Compliance Status</t>
  </si>
  <si>
    <t>Aconex Document No</t>
  </si>
  <si>
    <t>Hazard Log</t>
  </si>
  <si>
    <t>id</t>
  </si>
  <si>
    <t>[1] Hazard Ref.</t>
  </si>
  <si>
    <t>[2] Hazard Source &amp; Ref.</t>
  </si>
  <si>
    <t>[3] Design / Work Package</t>
  </si>
  <si>
    <t>[A] Related Design Package</t>
  </si>
  <si>
    <t>[B] HF Issues Register Cross-Reference</t>
  </si>
  <si>
    <t>HF ID</t>
  </si>
  <si>
    <t>Hazard impacted by HF Issue</t>
  </si>
  <si>
    <t>[4] Delivery or Operational Risk</t>
  </si>
  <si>
    <t>[C] Relevant to EW Scope (Y/N?)</t>
  </si>
  <si>
    <t>[C] Relevant to EW Scope</t>
  </si>
  <si>
    <t>[5] Operating Mode</t>
  </si>
  <si>
    <t>[D] Network Hazard</t>
  </si>
  <si>
    <t>[6] Hazard Description</t>
  </si>
  <si>
    <t>[7] Potential Cause(s) Description(s)</t>
  </si>
  <si>
    <t>ID&amp;":"&amp;Primary Text</t>
  </si>
  <si>
    <t>caused by</t>
  </si>
  <si>
    <t>[8] Potential Consequence(s) Description(s)</t>
  </si>
  <si>
    <t>[9] Safety Controls currently in place</t>
  </si>
  <si>
    <t>[10] Consequence</t>
  </si>
  <si>
    <t>[11] Likelihood</t>
  </si>
  <si>
    <t>[13] Current Proposed Mitigation Action to be Undertaken</t>
  </si>
  <si>
    <t>[14] Mitigation Action Taken</t>
  </si>
  <si>
    <t>[E] Safety Requirements</t>
  </si>
  <si>
    <t>[16] Responsibility for Task</t>
  </si>
  <si>
    <t xml:space="preserve">[17] Assumptions, Dependencies and Constraints (ADC) References </t>
  </si>
  <si>
    <t>Project Code&amp;"_ADC_"&amp;ADC No.</t>
  </si>
  <si>
    <t>Hazard impacted by ADC</t>
  </si>
  <si>
    <t>[18] SFAIRP Statement / Justification</t>
  </si>
  <si>
    <t>[19] Consequence</t>
  </si>
  <si>
    <t>[20] Likelihood</t>
  </si>
  <si>
    <t>[21] Risk rating  (cell formula used)</t>
  </si>
  <si>
    <t>[22] Hazard Status</t>
  </si>
  <si>
    <t>[23] Accountability &amp; Responsibilities</t>
  </si>
  <si>
    <t>[24] Consequence</t>
  </si>
  <si>
    <t>[25] Likelihood</t>
  </si>
  <si>
    <t xml:space="preserve">[26] Risk rating </t>
  </si>
  <si>
    <t>[27] Comments</t>
  </si>
  <si>
    <t>to be mitigated by</t>
  </si>
  <si>
    <t>mitigated by</t>
  </si>
  <si>
    <t xml:space="preserve"> </t>
  </si>
  <si>
    <t>Project Hazard Log Cross-Ref</t>
  </si>
  <si>
    <t>[1] Hazard Ref.&amp;":"&amp;Primary Text</t>
  </si>
  <si>
    <t>HF Issue impacts Hazard</t>
  </si>
  <si>
    <t>Design / Work Package</t>
  </si>
  <si>
    <t>Related Design Package</t>
  </si>
  <si>
    <t>Issue Title</t>
  </si>
  <si>
    <t>Issue Description</t>
  </si>
  <si>
    <t>HF Issue Description</t>
  </si>
  <si>
    <t>Raised By</t>
  </si>
  <si>
    <t>Source</t>
  </si>
  <si>
    <t>Date Raised to HFIR</t>
  </si>
  <si>
    <t>Impact on Human Performance</t>
  </si>
  <si>
    <t>Impact on System Performance</t>
  </si>
  <si>
    <t>Users Impacted</t>
  </si>
  <si>
    <t>Impact Area(s)</t>
  </si>
  <si>
    <t>Issue Priority</t>
  </si>
  <si>
    <t>Existing Controls</t>
  </si>
  <si>
    <t>HF Issue Mitigated By</t>
  </si>
  <si>
    <t>HF issue mitigated by(proposed)</t>
  </si>
  <si>
    <t>Derived HF &amp; Other Safety Requirement/s</t>
  </si>
  <si>
    <t>Actions Required or Taken</t>
  </si>
  <si>
    <t>Status</t>
  </si>
  <si>
    <t>HF Issue Status</t>
  </si>
  <si>
    <t>ADC Register Cross-Ref</t>
  </si>
  <si>
    <t>Project Code&amp;"_ADC_"&amp;ADC No.&amp;":"&amp;Primary Text</t>
  </si>
  <si>
    <t>HF Issue impacted by ADC</t>
  </si>
  <si>
    <t>HF Issue Last Updated</t>
  </si>
  <si>
    <t>Date Closed / Transferred</t>
  </si>
  <si>
    <t>Evidence of Closure</t>
  </si>
  <si>
    <t>Additional Comments</t>
  </si>
  <si>
    <t>Output Location</t>
  </si>
  <si>
    <t>File Base</t>
  </si>
  <si>
    <t>adc-export</t>
  </si>
  <si>
    <t>causes-export</t>
  </si>
  <si>
    <t>controls-export</t>
  </si>
  <si>
    <t>hazards-export</t>
  </si>
  <si>
    <t>hf-issues-export</t>
  </si>
  <si>
    <t>ratm-export</t>
  </si>
  <si>
    <t>rvtm-des-export</t>
  </si>
  <si>
    <t>rvtm-prod-export</t>
  </si>
  <si>
    <t>rvtm-val-export</t>
  </si>
  <si>
    <t>document-register-export</t>
  </si>
  <si>
    <t>rfi-aconex-export</t>
  </si>
  <si>
    <t>worklots-export</t>
  </si>
  <si>
    <t>VW_66HqUeAaEeqr-ZefwD8bAg</t>
  </si>
  <si>
    <t>SRS</t>
  </si>
  <si>
    <t>VW_1SceYdeOEeqr-ZefwD8bAg</t>
  </si>
  <si>
    <t>srs-export</t>
  </si>
  <si>
    <t>not mitigated by</t>
  </si>
  <si>
    <t>allocated to</t>
  </si>
  <si>
    <t>satisfied by.Principal Design SRS</t>
  </si>
  <si>
    <t>[12] Risk rating 
(cell formula used)</t>
  </si>
  <si>
    <t>&lt;&lt;IGNORE&gt;&gt;</t>
  </si>
  <si>
    <t>satisfied by|design verified by</t>
  </si>
  <si>
    <t>caused by|to be mitigated by</t>
  </si>
  <si>
    <t>caused by|will not be mitigated by</t>
  </si>
  <si>
    <t>caused by|mitigated by</t>
  </si>
  <si>
    <t>caused by|mitigated by|satisfied by</t>
  </si>
  <si>
    <t>mitigated by|ID&amp;" - "&amp;Control Type</t>
  </si>
  <si>
    <t>satisfied by|ID&amp;":"&amp;Primary Text</t>
  </si>
  <si>
    <t>HF issue mitigated by(proposed)|satisfied by</t>
  </si>
  <si>
    <t>[13a] REJECTED Controls</t>
  </si>
  <si>
    <t>will not be mitigated by</t>
  </si>
  <si>
    <t>caused by|mitigated by|satisfied by.Requirement Specification,caused by|mitigated by|satisfied by.Principal Design SRS</t>
  </si>
  <si>
    <t>mitigated by|satisfied by.Requirement Specification|ID&amp;":"&amp;Primary Text,mitigated by|satisfied by.Principal Design SRS|ID&amp;":"&amp;Primary Text</t>
  </si>
  <si>
    <t>satisfied by.Requirement Specification</t>
  </si>
  <si>
    <t>caused by|mitigated by|satisfied by.Requirement Specification|allocated to,caused by|mitigated by|satisfied by.Principal Design SRS|allocated to</t>
  </si>
  <si>
    <t>Aconex</t>
  </si>
  <si>
    <t>mitigated by|satisfied by.Requirement Specification|allocated to|allocated from=~s/:.*//&amp;":"&amp;Design Verification Evidence,mitigated by|satisfied by.Principal Design SRS|allocated to|allocated from=~s/:.*//&amp;":"&amp;Design Verification Evidence</t>
  </si>
  <si>
    <t>Project Code (INPUT)</t>
  </si>
  <si>
    <t>ADC No. (INPUT)</t>
  </si>
  <si>
    <t>Project ADC ID (AUTO)</t>
  </si>
  <si>
    <t>Type (A / D / C)</t>
  </si>
  <si>
    <t>Origin of ADC</t>
  </si>
  <si>
    <t>Location (Edit as required)</t>
  </si>
  <si>
    <t>Project Stage (if applicable)</t>
  </si>
  <si>
    <t>Discipline (Edit as required)</t>
  </si>
  <si>
    <t>ADC Owner</t>
  </si>
  <si>
    <t>Safety Related?</t>
  </si>
  <si>
    <t>Hazard Log ID (if applicable)</t>
  </si>
  <si>
    <t>HF Related?</t>
  </si>
  <si>
    <t>HF Issues ID (if applicable)</t>
  </si>
  <si>
    <t>Details</t>
  </si>
  <si>
    <t xml:space="preserve">Potential Consequence </t>
  </si>
  <si>
    <t>Action/Comment</t>
  </si>
  <si>
    <t>Verification Evidence/ Reason for Closure</t>
  </si>
  <si>
    <t>Expected Date of Resolution</t>
  </si>
  <si>
    <t>Closed by</t>
  </si>
  <si>
    <t>Date of Closure</t>
  </si>
  <si>
    <t>ADC impacts Hazard</t>
  </si>
  <si>
    <t>ADC impacts HF Issue</t>
  </si>
  <si>
    <t>Project Code</t>
  </si>
  <si>
    <t>ADC No.</t>
  </si>
  <si>
    <t>Location</t>
  </si>
  <si>
    <t>Project Stage</t>
  </si>
  <si>
    <t>Discipline(ADC)</t>
  </si>
  <si>
    <t>Owner(ADC)</t>
  </si>
  <si>
    <t>Potential Consequence</t>
  </si>
  <si>
    <t>Action/Comment(ADC)</t>
  </si>
  <si>
    <t>Verification Evidence/Reason for Closure</t>
  </si>
  <si>
    <t>ADC Status</t>
  </si>
  <si>
    <t>Change Journal</t>
  </si>
  <si>
    <t>VW_ni1vofoQEeqrdr5K10TaTg</t>
  </si>
  <si>
    <t>change-log-export</t>
  </si>
  <si>
    <t>RVTM(D)</t>
  </si>
  <si>
    <t>DOORS ID</t>
  </si>
  <si>
    <t>Design Verification Compliance Justification</t>
  </si>
  <si>
    <t>J:</t>
  </si>
  <si>
    <t>RAATM</t>
  </si>
  <si>
    <t>Requirement Source</t>
  </si>
  <si>
    <t>Item,Item</t>
  </si>
  <si>
    <t>allocated from.Requirement Specification,allocated from.Principal Design SRS</t>
  </si>
  <si>
    <t>Requirement Clause No,Requirement Clause No</t>
  </si>
  <si>
    <t>Requirement Type,Requirement Type</t>
  </si>
  <si>
    <t>Link ID</t>
  </si>
  <si>
    <t>ID,ID</t>
  </si>
  <si>
    <t>Primary Text,Primary Text</t>
  </si>
  <si>
    <t>Compliance Justification</t>
  </si>
  <si>
    <t>Evidence</t>
  </si>
  <si>
    <t>Product Verification Method</t>
  </si>
  <si>
    <t>Product Verification Method_MTMS</t>
  </si>
  <si>
    <t>Production Verification Evidence</t>
  </si>
  <si>
    <t>rvtm-des-export.txt</t>
  </si>
  <si>
    <t>ratm-export.txt</t>
  </si>
  <si>
    <t>allocated from.Requirement Specification</t>
  </si>
  <si>
    <t>allocated from.Principal Design SRS</t>
  </si>
  <si>
    <t>production verified by.Document Register Aconex</t>
  </si>
  <si>
    <t>production verified by.Document Register</t>
  </si>
  <si>
    <t>Exports Base</t>
  </si>
  <si>
    <t>batch</t>
  </si>
  <si>
    <t>%USERNAME%</t>
  </si>
  <si>
    <t>Hazard Reference</t>
  </si>
  <si>
    <t>Hazard Source</t>
  </si>
  <si>
    <t>affects Package</t>
  </si>
  <si>
    <t>SBS Element</t>
  </si>
  <si>
    <t>Applicable Phase(s)</t>
  </si>
  <si>
    <t>Operating Mode(s)</t>
  </si>
  <si>
    <t>details TLE</t>
  </si>
  <si>
    <t>Impact(s)</t>
  </si>
  <si>
    <t>Initial Consequence</t>
  </si>
  <si>
    <t>Initial Likelihood</t>
  </si>
  <si>
    <t>SFAIRP Argument</t>
  </si>
  <si>
    <t>Residual Consequence</t>
  </si>
  <si>
    <t>Residual Likelihood</t>
  </si>
  <si>
    <t>Hazard Status</t>
  </si>
  <si>
    <t>Project Hazard Owner</t>
  </si>
  <si>
    <t>Comments/Change Control</t>
  </si>
  <si>
    <t>Source Reference</t>
  </si>
  <si>
    <t>Residual Risk Owner</t>
  </si>
  <si>
    <t>Affected Groups</t>
  </si>
  <si>
    <t>Evidence of Residual Risk Transfer</t>
  </si>
  <si>
    <t>Chainage(s)</t>
  </si>
  <si>
    <t>Separable Portion(s)</t>
  </si>
  <si>
    <t>TLE ID/Description</t>
  </si>
  <si>
    <t>Sub-TLE ID/Description</t>
  </si>
  <si>
    <t>Hazard Description</t>
  </si>
  <si>
    <t>Cause</t>
  </si>
  <si>
    <t>Initial Risk Rating</t>
  </si>
  <si>
    <t>Residual Risk Rating</t>
  </si>
  <si>
    <t>Control</t>
  </si>
  <si>
    <t>Safety Requirements</t>
  </si>
  <si>
    <t>Design Package(s)</t>
  </si>
  <si>
    <t>&lt;&lt;RVTM&gt;&gt;</t>
  </si>
  <si>
    <t>module-list</t>
  </si>
  <si>
    <t>n/a</t>
  </si>
  <si>
    <t>TLE</t>
  </si>
  <si>
    <t>TLE Register</t>
  </si>
  <si>
    <t>VW_Yhq_gIegEeyQUOha-yu98A</t>
  </si>
  <si>
    <t>tle-register-export</t>
  </si>
  <si>
    <t>Production Verification Status</t>
  </si>
  <si>
    <t>References Worklots No</t>
  </si>
  <si>
    <t>Work Lot No</t>
  </si>
  <si>
    <t>References Worklots Status</t>
  </si>
  <si>
    <t>Work Lot Status</t>
  </si>
  <si>
    <t>References Worklots Description</t>
  </si>
  <si>
    <t>References RFI</t>
  </si>
  <si>
    <t>References RFI Status</t>
  </si>
  <si>
    <t>Aconex Status</t>
  </si>
  <si>
    <t>SoAH Location</t>
  </si>
  <si>
    <t>RFI Reference (CPS design manager)</t>
  </si>
  <si>
    <t>RFI compliance status</t>
  </si>
  <si>
    <t>RFI status notes</t>
  </si>
  <si>
    <t>V\&amp;V Phase</t>
  </si>
  <si>
    <t>[2] Hazard Source \&amp; Ref.</t>
  </si>
  <si>
    <t>Proposed V\&amp;V Methods</t>
  </si>
  <si>
    <t>CE Number Weekend Possession</t>
  </si>
  <si>
    <t>[23] Accountability \&amp; Responsibilities</t>
  </si>
  <si>
    <t>VW_oQKqoK1EEeuReJpTmFcOUA</t>
  </si>
  <si>
    <t>ADC Register</t>
  </si>
  <si>
    <t>B2N</t>
  </si>
  <si>
    <t>Template</t>
  </si>
  <si>
    <t>DOORS Next\Exports\templates\DOORS Requirements Exports.xlsm</t>
  </si>
  <si>
    <t>VW_HyKeMZQ2EeyD6u853Wthwg</t>
  </si>
  <si>
    <t>VW_HyKeR5Q2EeyD6u853Wthwg</t>
  </si>
  <si>
    <t>Project Name</t>
  </si>
  <si>
    <t>Gold Coast Light Rail-Stage 3</t>
  </si>
  <si>
    <t>P16241 Melbourne Airport Rail Sunshine to Albion Alliance</t>
  </si>
  <si>
    <t>More Trains More Services Stage 2-North</t>
  </si>
  <si>
    <t>_D3k38JQ2EeyD6u853Wthwg</t>
  </si>
  <si>
    <t>#B2N</t>
  </si>
  <si>
    <t>VW_HyKeRZQ2EeyD6u853Wthwg</t>
  </si>
  <si>
    <t>SBS L1&amp;"-"&amp;SBS L2</t>
  </si>
  <si>
    <t>RATM(Tender)</t>
  </si>
  <si>
    <t>Allocation
(Discipline / Subsystem)</t>
  </si>
  <si>
    <t>Complance Evidence (TANs)</t>
  </si>
  <si>
    <t>Departure Reference/Statement</t>
  </si>
  <si>
    <t>Program Status</t>
  </si>
  <si>
    <t>Program Evidence</t>
  </si>
  <si>
    <t>Costing Status</t>
  </si>
  <si>
    <t>Costing Evidence</t>
  </si>
  <si>
    <t>Remarks</t>
  </si>
  <si>
    <t>Document 
No.</t>
  </si>
  <si>
    <t>Document Title</t>
  </si>
  <si>
    <t>Version 
No.</t>
  </si>
  <si>
    <t xml:space="preserve">Clause 
No. </t>
  </si>
  <si>
    <t>Item No</t>
  </si>
  <si>
    <t>Description of Requirement</t>
  </si>
  <si>
    <t>Champion</t>
  </si>
  <si>
    <t>Priority</t>
  </si>
  <si>
    <t>VW_-R7yEMkPEeyiT4YtHX2RZA</t>
  </si>
  <si>
    <t>cvtm-export</t>
  </si>
  <si>
    <t>CVTM</t>
  </si>
  <si>
    <t>Gold Coast Light Rail-Stage 3 (Clone-2)</t>
  </si>
  <si>
    <t>_m2gAgMedEeyiT4YtHX2RZA</t>
  </si>
  <si>
    <t>GCLRS3_C2</t>
  </si>
  <si>
    <t>VW_2GmtmcedEeyiT4YtHX2RZA</t>
  </si>
  <si>
    <t>Design Verification Justification</t>
  </si>
  <si>
    <t>Document Title(Title)</t>
  </si>
  <si>
    <t>Document No(Doc. Ref.)</t>
  </si>
  <si>
    <t>RSA</t>
  </si>
  <si>
    <t>Artifact Type</t>
  </si>
  <si>
    <t>RSA Project Requirements Document</t>
  </si>
  <si>
    <t>RSA System Requirements Document</t>
  </si>
  <si>
    <t>_qMv2Eci-EeeN5bwTRxIMGg</t>
  </si>
  <si>
    <t>Rail Systems Alliance</t>
  </si>
  <si>
    <t>Production Verification Compliance Justification</t>
  </si>
  <si>
    <t>Authentication Folder</t>
  </si>
  <si>
    <t>Base URL</t>
  </si>
  <si>
    <t>catm-export</t>
  </si>
  <si>
    <t>VW_NzCDAMnBEeyiT4YtHX2RZA</t>
  </si>
  <si>
    <t>Completion Verification Evidence</t>
  </si>
  <si>
    <t>completion verified by</t>
  </si>
  <si>
    <t>Format</t>
  </si>
  <si>
    <t>Completion Status (%)</t>
  </si>
  <si>
    <t>Completions-Status (%)</t>
  </si>
  <si>
    <t>VW_2Gmtj8edEeyiT4YtHX2RZA</t>
  </si>
  <si>
    <t>Disciplines</t>
  </si>
  <si>
    <t>CATM</t>
  </si>
  <si>
    <t>satisfied by|completion verified by</t>
  </si>
  <si>
    <t>Completion</t>
  </si>
  <si>
    <t>VW_eNsmae9rEeyiT4YtHX2RZA</t>
  </si>
  <si>
    <t>GCLRS3_C3</t>
  </si>
  <si>
    <t>Gold Coast Light Rail-Stage 3 (Clone-3)</t>
  </si>
  <si>
    <t>_u4dQQO9nEeyiT4YtHX2RZA</t>
  </si>
  <si>
    <t>REI-PR</t>
  </si>
  <si>
    <t>REI-SR</t>
  </si>
  <si>
    <t>design verified by|Document No</t>
  </si>
  <si>
    <t>completion verified by|Document No</t>
  </si>
  <si>
    <t xml:space="preserve">[15A] Safety Control Design Verification &amp; Validation Evidence  </t>
  </si>
  <si>
    <t xml:space="preserve">[15B] Safety Control Production Verification &amp; Validation Evidence  </t>
  </si>
  <si>
    <t>mitigated by|satisfied by.Requirement Specification|allocated to|allocated from=~s/:.*//&amp;":"&amp;Production Verification Evidence,mitigated by|satisfied by.Principal Design SRS|allocated to|allocated from=~s/:.*//&amp;":"&amp;Production Verification Evidence</t>
  </si>
  <si>
    <t>Allocation</t>
  </si>
  <si>
    <t>RATM(D)_MASTER</t>
  </si>
  <si>
    <t>VW_r-AR8Oe_EeyiT4YtHX2RZA</t>
  </si>
  <si>
    <t>General Requirements View-Changes</t>
  </si>
  <si>
    <t>_8RXZYOYXEeyiT4YtHX2RZA</t>
  </si>
  <si>
    <t>Requirement Text(Rev01)</t>
  </si>
  <si>
    <t>Primary Text (previous)</t>
  </si>
  <si>
    <t>Discipline</t>
  </si>
  <si>
    <t>Portion</t>
  </si>
  <si>
    <t>Design Package</t>
  </si>
  <si>
    <t>Verification</t>
  </si>
  <si>
    <t>Validation</t>
  </si>
  <si>
    <t>caused by|mitigated by|affects Package</t>
  </si>
  <si>
    <t>caused by|mitigated by|Name=~s/ .*//</t>
  </si>
  <si>
    <t>Artifact</t>
  </si>
  <si>
    <t>M7-M12</t>
  </si>
  <si>
    <t>Complance Evidence (PPDNs)</t>
  </si>
  <si>
    <t>_YCqGAPsUEeyiT4YtHX2RZA</t>
  </si>
  <si>
    <t>Link:Derived To (&gt;)</t>
  </si>
  <si>
    <t>Link:Verified By (&lt;).RSA Verification Actions Document</t>
  </si>
  <si>
    <t>Verification_Actions</t>
  </si>
  <si>
    <t>Validation_Actions</t>
  </si>
  <si>
    <t>Link:RM Validated By (&lt;).RSA Validation Actions Document</t>
  </si>
  <si>
    <t>A2P</t>
  </si>
  <si>
    <t>P15691 - Inland Rail Enhancement Albury - Illabo and Stockinbingal - Parkes</t>
  </si>
  <si>
    <t>_kjeF8P2rEeyiT4YtHX2RZA</t>
  </si>
  <si>
    <t>VW_Rg1GC_2sEeyiT4YtHX2RZA</t>
  </si>
  <si>
    <t>Link:Satisfies (&gt;)</t>
  </si>
  <si>
    <t>#M7-M12</t>
  </si>
  <si>
    <t>VW__XKF_uYXEeyiT4YtHX2RZA</t>
  </si>
  <si>
    <t>Classic ID</t>
  </si>
  <si>
    <t>Classic Id</t>
  </si>
  <si>
    <t>RSA Requirements Document</t>
  </si>
  <si>
    <t>RSA OCD</t>
  </si>
  <si>
    <t>RSA Interface Control Document</t>
  </si>
  <si>
    <t>SDD (System Design Document)</t>
  </si>
  <si>
    <t>ADD (Application Design Document)</t>
  </si>
  <si>
    <t>RSA Information Document</t>
  </si>
  <si>
    <t>Reference</t>
  </si>
  <si>
    <t>VCRM Project Requirements-PRD-REI-PR</t>
  </si>
  <si>
    <t>VCRM System Design Requirements-SDD-REI-PR</t>
  </si>
  <si>
    <t>VCRM System Requirements-ADD-REI-SR</t>
  </si>
  <si>
    <t>REPORT BUILDER</t>
  </si>
  <si>
    <t>VCRM Project Requirements-RD-REI-PR</t>
  </si>
  <si>
    <t>MTMS3A</t>
  </si>
  <si>
    <t>_3X9k8BTmEey7fLxXWYILsQ</t>
  </si>
  <si>
    <t>P16754 - TfNSW - More Trains More Services 3A</t>
  </si>
  <si>
    <t>VW_7P5f0BTmEey7fLxXWYILsQ</t>
  </si>
  <si>
    <t>Classic Check</t>
  </si>
  <si>
    <t>VW_JN0qcAwEEe2mLL-PKsW_5Q</t>
  </si>
  <si>
    <t>classic-export</t>
  </si>
  <si>
    <t>VCRM System Requirements-RD-REI-SR</t>
  </si>
  <si>
    <t>jhgrei.clm.ibmcloud.com</t>
  </si>
  <si>
    <t>ajmjv.clm.ibmcloud.com</t>
  </si>
  <si>
    <t>Design Compliance Status</t>
  </si>
  <si>
    <t>Design Compliance Justification</t>
  </si>
  <si>
    <t>_xhONIMITEeyUZPVAABdR_g</t>
  </si>
  <si>
    <t>Current</t>
  </si>
  <si>
    <t>VCRM Project Requirements</t>
  </si>
  <si>
    <t>VCRM System Requirements</t>
  </si>
  <si>
    <t>VCRM System Requirements-SRD-REI-SR</t>
  </si>
  <si>
    <t>VCRM Interface Requirements-ICD-REI-SR</t>
  </si>
  <si>
    <t>Context</t>
  </si>
  <si>
    <t>Owner(Requirement:</t>
  </si>
  <si>
    <t>Complance Evidence (PPDNs:</t>
  </si>
  <si>
    <t>Baseline</t>
  </si>
  <si>
    <t>SHVNPH</t>
  </si>
  <si>
    <t>_lbWbgB9dEe2mLL-PKsW_5Q</t>
  </si>
  <si>
    <t>P16139 - Shoalhaven Hydro Scheme Expansion</t>
  </si>
  <si>
    <t>VW_6lYwgx9dEe2mLL-PKsW_5Q</t>
  </si>
  <si>
    <t>Tender-Addendum 01</t>
  </si>
  <si>
    <t>_JPH6MCWbEe2mLL-PKsW_5Q</t>
  </si>
  <si>
    <t>20220422_RNA_CSBL_VCRM_RSA4_BL11</t>
  </si>
  <si>
    <t>SiD Reference</t>
  </si>
  <si>
    <t>OHL Reference</t>
  </si>
  <si>
    <t>Production Verification Method</t>
  </si>
  <si>
    <t>Production Verification Remarks</t>
  </si>
  <si>
    <t>production verified by</t>
  </si>
  <si>
    <t>validated by</t>
  </si>
  <si>
    <t>04 Verification and Validation</t>
  </si>
  <si>
    <t>rvtm-all-export</t>
  </si>
  <si>
    <t>VW_2Gmtg8edEeyiT4YtHX2RZA</t>
  </si>
  <si>
    <t>rvtm-export</t>
  </si>
  <si>
    <t>VW_2GmtksedEeyiT4YtHX2RZA</t>
  </si>
  <si>
    <t>Verification/Validation Evidence</t>
  </si>
  <si>
    <t>Link</t>
  </si>
  <si>
    <t>Document Revision(Rev. No.)</t>
  </si>
  <si>
    <t>Document Version(Ver. No.)</t>
  </si>
  <si>
    <t>Document Purpose of Issue(Purpose Of Issue)</t>
  </si>
  <si>
    <t>Document Status(Status)</t>
  </si>
  <si>
    <t>Document Publish Date(Publish Date)</t>
  </si>
  <si>
    <t>Document Publisher Organisation(Publisher Organisation)</t>
  </si>
  <si>
    <t>allocated to|design verified by</t>
  </si>
  <si>
    <t>_jzLB0FaJEe23K6a7paVBpQ</t>
  </si>
  <si>
    <t>20221031_RNA_CSBL_VCRM_Version_C</t>
  </si>
  <si>
    <t>VCRM OCD-REI-PR</t>
  </si>
  <si>
    <t>Control Type</t>
  </si>
  <si>
    <t>Control Owner</t>
  </si>
  <si>
    <t>Control Status</t>
  </si>
  <si>
    <t>Top Level Event</t>
  </si>
  <si>
    <t>Sub-Top Level Event</t>
  </si>
  <si>
    <t>mitigated by|ID&amp;":"&amp;Control Type</t>
  </si>
  <si>
    <t>mitigated by|ID&amp;":"&amp;Control Owner</t>
  </si>
  <si>
    <t>mitigated by|ID&amp;":"&amp;Control Status</t>
  </si>
  <si>
    <t>20221208_RNA_CSBL_VCRM_Version_D</t>
  </si>
  <si>
    <t>_pRTKsHaDEe2ywt3XcPb5Ew</t>
  </si>
  <si>
    <t>Reasons for Rejection / Transfer</t>
  </si>
  <si>
    <t>mitigated by|satisfied by|ID&amp;":"&amp;Primary Text&amp;"["&amp;satisfies=~s/:.*//&amp;"]"</t>
  </si>
  <si>
    <t>mitigated by|ID&amp;":"&amp;Reasons for Rejection or Transfer</t>
  </si>
  <si>
    <t>_eg0YoJB3Ee2ojZwsjn00gw</t>
  </si>
  <si>
    <t>20230110_RNA_CSBL_VCRM_Version_E</t>
  </si>
  <si>
    <t>MAR-SSA</t>
  </si>
  <si>
    <t>_LC3McDS0Ee2ox4rkpMFBzg</t>
  </si>
  <si>
    <t>MAR Package - Sunshine Systems Alliance</t>
  </si>
  <si>
    <t>General Document</t>
  </si>
  <si>
    <t>Element</t>
  </si>
  <si>
    <t>RefID</t>
  </si>
  <si>
    <t>Requirement Classification</t>
  </si>
  <si>
    <t>Satisfaction Argument</t>
  </si>
  <si>
    <t>Trace Status</t>
  </si>
  <si>
    <t>Work Package</t>
  </si>
  <si>
    <t>SSA Requirement</t>
  </si>
  <si>
    <t>Satisfies</t>
  </si>
  <si>
    <t>MAR-PSTR</t>
  </si>
  <si>
    <t>_pgtXIPuoEeq_a9eH5oxo8g</t>
  </si>
  <si>
    <t>MAR PSTR - Sunshine and Albion</t>
  </si>
  <si>
    <t>PSTR Document</t>
  </si>
  <si>
    <t>VW__u8ooJhSEe274qODEc7urQ</t>
  </si>
  <si>
    <t>PSTR Document view</t>
  </si>
  <si>
    <t>PSTR</t>
  </si>
  <si>
    <t>PSTR.txt</t>
  </si>
  <si>
    <t>VW_r4g_AJh5Ee274qODEc7urQ</t>
  </si>
  <si>
    <t>Child Of</t>
  </si>
  <si>
    <t>Preamble</t>
  </si>
  <si>
    <t>Child Of|Child Of|Child Of|Child Of,Child Of|Child Of|Child Of,Child Of|Child Of,Child Of</t>
  </si>
  <si>
    <t>Child Of|Child Of|Child Of|Primary Text,Child Of|Child Of|Primary Text,Child Of|Primary Text,Primary Text</t>
  </si>
  <si>
    <t>RM</t>
  </si>
  <si>
    <t>rm2</t>
  </si>
  <si>
    <t>Clause Level</t>
  </si>
  <si>
    <t>Document Source</t>
  </si>
  <si>
    <t>Requirement ID (RATM)</t>
  </si>
  <si>
    <t>Requirement Approval Status</t>
  </si>
  <si>
    <t>Object Type</t>
  </si>
  <si>
    <t>Requirement Level</t>
  </si>
  <si>
    <t>NextRail Owner(s)</t>
  </si>
  <si>
    <t>Requirement Delivery Phase</t>
  </si>
  <si>
    <t>Requirement Delivery Stage</t>
  </si>
  <si>
    <t>Criticality</t>
  </si>
  <si>
    <t>Satisfaction argument</t>
  </si>
  <si>
    <t>Compliance status</t>
  </si>
  <si>
    <t>Owner</t>
  </si>
  <si>
    <t>Author</t>
  </si>
  <si>
    <t>Satisfies parent</t>
  </si>
  <si>
    <t>Satisfies PSHL</t>
  </si>
  <si>
    <t>Specifies interface</t>
  </si>
  <si>
    <t>Specifies component</t>
  </si>
  <si>
    <t>Specifies function</t>
  </si>
  <si>
    <t>Uniclass 2015 asset code (DE)</t>
  </si>
  <si>
    <t>Asset location code (DE)</t>
  </si>
  <si>
    <t>Satisfies ADC</t>
  </si>
  <si>
    <t>Rationale</t>
  </si>
  <si>
    <t>Lead Discipline/System</t>
  </si>
  <si>
    <t>Design Evidence</t>
  </si>
  <si>
    <t>Design Verification Justification Statement</t>
  </si>
  <si>
    <t>Deviation (derogation / departure / change request)</t>
  </si>
  <si>
    <t>Design verification method</t>
  </si>
  <si>
    <t>Production verification method</t>
  </si>
  <si>
    <t>Acceptance criteria</t>
  </si>
  <si>
    <t>Verification test type</t>
  </si>
  <si>
    <t xml:space="preserve">Proposed validation method </t>
  </si>
  <si>
    <t>Validation test type</t>
  </si>
  <si>
    <t>Production Worklot Allocation</t>
  </si>
  <si>
    <t>V&amp;V evidence [Production Verification Evidence]</t>
  </si>
  <si>
    <t>Remarks/comments</t>
  </si>
  <si>
    <t>Production Verification Justification Statement</t>
  </si>
  <si>
    <t>allocated from</t>
  </si>
  <si>
    <t>rm</t>
  </si>
  <si>
    <t>Causes</t>
  </si>
  <si>
    <t>Controls</t>
  </si>
  <si>
    <t>ADC</t>
  </si>
  <si>
    <t>VW_7EuKkBTmEey7fLxXWYILsQ</t>
  </si>
  <si>
    <t>VW_7Cf9ABTmEey7fLxXWYILsQ</t>
  </si>
  <si>
    <t>VW_7NtHcBTmEey7fLxXWYILsQ</t>
  </si>
  <si>
    <t>VW_6-BssBTmEey7fLxXWYILsQ</t>
  </si>
  <si>
    <t>VW_7F7EcBTmEey7fLxXWYILsQ</t>
  </si>
  <si>
    <t>VW_7SWW4BTmEey7fLxXWYILsQ</t>
  </si>
  <si>
    <t>_BxPOQLFyEe27uu4Y37nY8A</t>
  </si>
  <si>
    <t>P15683 ARTC - Inland Rail Illabo - Stockinbingal (I2S)</t>
  </si>
  <si>
    <t>I2S</t>
  </si>
  <si>
    <t>VW_SSs1kLFyEe27uu4Y37nY8A</t>
  </si>
  <si>
    <t>20230310_RNA_CSBL_VCRM_Version_F</t>
  </si>
  <si>
    <t>_MkgpQL7IEe2ffKWlbzRjQQ</t>
  </si>
  <si>
    <t>CLRS2A</t>
  </si>
  <si>
    <t>_i9X9IMO0Ee2f1v5o-AwQcQ</t>
  </si>
  <si>
    <t>VW_neG9wsO0Ee2f1v5o-AwQcQ</t>
  </si>
  <si>
    <t>P17645 Canberra Metro - Stage 2A</t>
  </si>
  <si>
    <t>20230331_RNA_CSBL_VCRM_Version_G</t>
  </si>
  <si>
    <t>_p2I6QM9xEe2xrdaEtQcEfQ</t>
  </si>
  <si>
    <t>Legancy ID</t>
  </si>
  <si>
    <t>Legancy Parent ID</t>
  </si>
  <si>
    <t>Proposed Verification Method</t>
  </si>
  <si>
    <t>classic-export.txt</t>
  </si>
  <si>
    <t>rvtm-export.txt</t>
  </si>
  <si>
    <t>brs-export.txt</t>
  </si>
  <si>
    <t>Link From</t>
  </si>
  <si>
    <t>Business Requirement Specification</t>
  </si>
  <si>
    <t>brs-export</t>
  </si>
  <si>
    <t>HF ID&amp;":"&amp;Primary Text</t>
  </si>
  <si>
    <t>hazards-export.txt</t>
  </si>
  <si>
    <t>controls-export.txt</t>
  </si>
  <si>
    <t>hf-issues-export.txt</t>
  </si>
  <si>
    <t>adc-export.txt</t>
  </si>
  <si>
    <t>General Document.txt</t>
  </si>
  <si>
    <t>VW_6jBxEHp8Ee2TvuQ_raaH4Q</t>
  </si>
  <si>
    <t>mitigated by|ID&amp;":"&amp;Primary Text&amp;"("&amp;Control Type&amp;")"&amp;"("&amp;Design Package Responsible&amp;")["&amp;mitigates=~s/:.*//&amp;"]"&amp;"{"&amp;derives to=~s/:.*//&amp;"}"</t>
  </si>
  <si>
    <t>mitigated by|derives to|ID&amp;":"&amp;Primary Text&amp;"["&amp;Document Source&amp;"]"</t>
  </si>
  <si>
    <t>caused by|mitigated by|derives to</t>
  </si>
  <si>
    <t>mitigated by|derives to|allocated to|ID&amp;":"&amp;Design Compliance Status&amp;":"&amp;Design Evidence&amp;"["&amp;allocated from=~s/:.*//&amp;"]"</t>
  </si>
  <si>
    <t>caused by|mitigated by|derives to|allocated to</t>
  </si>
  <si>
    <t>mitigated by|derives to|allocated to|ID&amp;":"&amp;Production Verification Evidence</t>
  </si>
  <si>
    <t xml:space="preserve">[15] Safety Control Design Verification &amp; Validation Evidence  </t>
  </si>
  <si>
    <t>RATM(D)</t>
  </si>
  <si>
    <t>VW_IDw3kAW5Ee6i5ocS84RmEA</t>
  </si>
  <si>
    <t>Ids Only</t>
  </si>
  <si>
    <t>VW_neG90sO0Ee2f1v5o-AwQcQ</t>
  </si>
  <si>
    <t>20230605_RNA_CSBL_SIG_SRDS_ADD_D9Update</t>
  </si>
  <si>
    <t>_U1F1AANIEe6gYas-BhSBGw</t>
  </si>
  <si>
    <t>20230502_RNA_CSBL_VCRM_Version_J</t>
  </si>
  <si>
    <t>_U5nmUOiGEe2AMo-DFQlS5A</t>
  </si>
  <si>
    <t>20230420_RNA_CSBL_VCRM_Version_H</t>
  </si>
  <si>
    <t>_DCaYIN9aEe2r3YQNROPjMA</t>
  </si>
  <si>
    <t>Just Ids</t>
  </si>
  <si>
    <t>VW_AZKdoPRFEe2oEcv32n4QGA</t>
  </si>
  <si>
    <t>ratm-ids-export</t>
  </si>
  <si>
    <t>VW_Dki2sApNEe6my9AIlP-Law</t>
  </si>
  <si>
    <t>VW_HpJ7oApNEe6my9AIlP-Law</t>
  </si>
  <si>
    <t>20230621_RNA_CSBL_VCRM_Version_K</t>
  </si>
  <si>
    <t>_T6tjEBAPEe6my9AIlP-Law</t>
  </si>
  <si>
    <t>7224 - Beerburrum to Nambour Rail Upgrade (B2N) - Stage 1 Main Works</t>
  </si>
  <si>
    <t>JH-REI-001</t>
  </si>
  <si>
    <t>_VS1RgCCoEeuiS6oMMuFeMg</t>
  </si>
  <si>
    <t>VW_Yh39YSDJEeuiS6oMMuFeMg</t>
  </si>
  <si>
    <t>Perl</t>
  </si>
  <si>
    <t>CM</t>
  </si>
  <si>
    <t>stream/_VfyIYCCoEeuiS6oMMuFeMg</t>
  </si>
  <si>
    <t>20230731_RNA_CSBL_Onboard_Version_A</t>
  </si>
  <si>
    <t>_UQHQIC9wEe6ot6dyTkl3Xw</t>
  </si>
  <si>
    <t>20230807_RNA_CSBL_VCRM_Version_L</t>
  </si>
  <si>
    <t>_qV5j0DUIEe6ot6dyTkl3Xw</t>
  </si>
  <si>
    <t>Requirement Level LV1</t>
  </si>
  <si>
    <t>PIAP design compliant status</t>
  </si>
  <si>
    <t>"["&amp;RVTM Name&amp;"]:"&amp;ID&amp;":"&amp;Design Compliance Status</t>
  </si>
  <si>
    <t>PIAP design evidence</t>
  </si>
  <si>
    <t>"["&amp;RVTM Name&amp;"]:"&amp;ID&amp;":"&amp;Design Evidence</t>
  </si>
  <si>
    <t>PIAP design verification justification statement</t>
  </si>
  <si>
    <t>"["&amp;RVTM Name&amp;"]:"&amp;ID&amp;":"&amp;Design Verification Justification Statement</t>
  </si>
  <si>
    <t>"["&amp;RVTM Name&amp;"]:"&amp;ID&amp;":"&amp;Requirement Level</t>
  </si>
  <si>
    <t>"["&amp;RVTM Name&amp;"]:"&amp;ID&amp;":"&amp;Satisfies parent</t>
  </si>
  <si>
    <t>"["&amp;RVTM Name&amp;"]:"&amp;ID&amp;":"&amp;Lead Discipline/System</t>
  </si>
  <si>
    <t>MTMS3A Source ID&amp;ID</t>
  </si>
  <si>
    <t>PSSRR Control</t>
  </si>
  <si>
    <t>derived from.Controls Register|ID</t>
  </si>
  <si>
    <t>allocated from|derived from.Controls Register</t>
  </si>
  <si>
    <t>derived from.Controls Register|mitigates|causes|ID</t>
  </si>
  <si>
    <t>allocated from|derived from.Controls Register|mitigates|causes</t>
  </si>
  <si>
    <t>Discipline /System Element</t>
  </si>
  <si>
    <t>PIAP Design Status</t>
  </si>
  <si>
    <t>PIAP Design Evidence</t>
  </si>
  <si>
    <t>PIAP Design Verification Justification Statement</t>
  </si>
  <si>
    <t>Satisfies parent LV1</t>
  </si>
  <si>
    <t>Lead Discipline/System LV1</t>
  </si>
  <si>
    <t>derived from.Requirement Specification</t>
  </si>
  <si>
    <t>mitigates</t>
  </si>
  <si>
    <t>derived from.Controls Register</t>
  </si>
  <si>
    <t>to be mitigated by|ID&amp;":"&amp;Primary Text&amp;"("&amp;Control Type&amp;")["&amp;will mitigate=~s/:.*//&amp;"]"&amp;"("&amp;Design Package Responsible&amp;")"</t>
  </si>
  <si>
    <t>will not be mitigated by|ID&amp;":"&amp;Primary Text&amp;"("&amp;Control Type&amp;")["&amp;will not mitigate=~s/:.*//&amp;"]"&amp;"("&amp;Design Package Responsible&amp;")"</t>
  </si>
  <si>
    <t>20230811_RNA_CSBL_Onboard_Version_B</t>
  </si>
  <si>
    <t>_WVVxkDgTEe6ot6dyTkl3Xw</t>
  </si>
  <si>
    <t>stream/_Ep7h8JQ2EeyD6u853Wthwg</t>
  </si>
  <si>
    <t>mitigated by|ID&amp;"["&amp;mitigates=~s/:.*//&amp;"]"</t>
  </si>
  <si>
    <t>to be mitigated by|ID&amp;":"&amp;Primary Text&amp;"("&amp;Control Type&amp;")["&amp;will mitigate=~s/:.*//&amp;"]"</t>
  </si>
  <si>
    <t>will not be mitigated by|ID&amp;":"&amp;Primary Text&amp;"("&amp;Control Type&amp;")["&amp;will not mitigate=~s/:.*//&amp;"]"</t>
  </si>
  <si>
    <t>mitigated by|ID&amp;":"&amp;Primary Text&amp;"("&amp;Control Type&amp;")["&amp;mitigates=~s/:.*//&amp;"]"</t>
  </si>
  <si>
    <t>Addendum 07</t>
  </si>
  <si>
    <t>_hYYzoDfkEe6hn_NqKcOxVA</t>
  </si>
  <si>
    <t>stream/_huY_tq1EEeuReJpTmFcOUA</t>
  </si>
  <si>
    <t>QTMP</t>
  </si>
  <si>
    <t>REI-7534 - Queensland Train Manufacturing Program - Manufacturing Facility</t>
  </si>
  <si>
    <t>downergroup.clm.ibmcloud.com</t>
  </si>
  <si>
    <t>_nz458O_DEe2sGP9-HPc19Q</t>
  </si>
  <si>
    <t>Verification Actions View</t>
  </si>
  <si>
    <t>va-export</t>
  </si>
  <si>
    <t>LA_QTMP_Verifies</t>
  </si>
  <si>
    <t>QREP-VMNotes</t>
  </si>
  <si>
    <t>QREP-WorkingComments</t>
  </si>
  <si>
    <t>QREP-WSP Scope Change</t>
  </si>
  <si>
    <t>QTMP-CES_Source</t>
  </si>
  <si>
    <t>QTMP-CommentsSubcontractor</t>
  </si>
  <si>
    <t>QTMP-ComplainceEvidenceType</t>
  </si>
  <si>
    <t>QTMP-Designer Response</t>
  </si>
  <si>
    <t>QTMP-RequirementCategory</t>
  </si>
  <si>
    <t>QTMP-MFG-DesignDiscipline</t>
  </si>
  <si>
    <t>QTMP-MFG-DesignSubDiscipline</t>
  </si>
  <si>
    <t>QTMP-SubcontractorJustificaiton</t>
  </si>
  <si>
    <t>QTMP-SubcontractorCompliance</t>
  </si>
  <si>
    <t>QTMP-Organisation</t>
  </si>
  <si>
    <t>QTMP-VVEStages</t>
  </si>
  <si>
    <t>QTMP-SVR-VVE</t>
  </si>
  <si>
    <t>QTMP-DDR-VVE</t>
  </si>
  <si>
    <t>QTMP-PDR-VVE</t>
  </si>
  <si>
    <t>QTMP-SDR-VVE</t>
  </si>
  <si>
    <t>QTMP-TRR-VVE</t>
  </si>
  <si>
    <t>QTMP-Verifies</t>
  </si>
  <si>
    <t>ss-export</t>
  </si>
  <si>
    <t>stream/_n73KMO_DEe2sGP9-HPc19Q</t>
  </si>
  <si>
    <t>System Requirement</t>
  </si>
  <si>
    <t>Verification Actions</t>
  </si>
  <si>
    <t>Doc&amp;Type</t>
  </si>
  <si>
    <t>Type&amp;Compliance</t>
  </si>
  <si>
    <t>Unassessed</t>
  </si>
  <si>
    <t>Unassessed&amp;Type</t>
  </si>
  <si>
    <t>Unowned&amp;Type</t>
  </si>
  <si>
    <t>Unallocated&amp;Type</t>
  </si>
  <si>
    <t>Complance Evidence</t>
  </si>
  <si>
    <t>Departure Statement</t>
  </si>
  <si>
    <t>Allocations</t>
  </si>
  <si>
    <t>PSTR Artifact Id</t>
  </si>
  <si>
    <t>PSTR Artifact Primary Text</t>
  </si>
  <si>
    <t>PSTR Artifact Type</t>
  </si>
  <si>
    <t>REI-PSTR</t>
  </si>
  <si>
    <t>VW_Q_ioUFtDEe6t9fVZyzap8w</t>
  </si>
  <si>
    <t>VCRM-PSTR</t>
  </si>
  <si>
    <t>VW_7S7bsQdiEeeRveGgsFyhmA</t>
  </si>
  <si>
    <t>PSTR Requirements Traceability View</t>
  </si>
  <si>
    <t>pstr-export</t>
  </si>
  <si>
    <t>_ZVDfYLUNEea_YPmdemKKdw</t>
  </si>
  <si>
    <t>PSTR - Rail Systems</t>
  </si>
  <si>
    <t>Relevant</t>
  </si>
  <si>
    <t>Status&amp;Type</t>
  </si>
  <si>
    <t>No Status</t>
  </si>
  <si>
    <t>No Status&amp;Type</t>
  </si>
  <si>
    <t>No V&amp;V Phase&amp;Type</t>
  </si>
  <si>
    <t>V&amp;V Phase&amp;Type</t>
  </si>
  <si>
    <t>Functional Baseline #1</t>
  </si>
  <si>
    <t>__PvsEByUEe6i5ocS84RmEA</t>
  </si>
  <si>
    <t>Derived/Satisfying Artifact id</t>
  </si>
  <si>
    <t>Link:Satisfied By (&lt;).P</t>
  </si>
  <si>
    <t>Link:Satisfied By (&lt;).P|Link:Satisfied By (&lt;).S,Link:Satisfied By (&lt;).P|Link:Derived To (&gt;)</t>
  </si>
  <si>
    <t>Link:Satisfied By (&lt;).S</t>
  </si>
  <si>
    <t>#PSTR</t>
  </si>
  <si>
    <t>_gvxs8MT3EeyiT4YtHX2RZA</t>
  </si>
  <si>
    <t>B2N(C1)</t>
  </si>
  <si>
    <t>P10993 Beerburrum to Nambour Rail Project Track and Civil(Clone-1)</t>
  </si>
  <si>
    <t>stream/_g2Be4MT3EeyiT4YtHX2RZA</t>
  </si>
  <si>
    <t>derives to</t>
  </si>
  <si>
    <t>CPM</t>
  </si>
  <si>
    <t>RATM ID</t>
  </si>
  <si>
    <t>Completion ID</t>
  </si>
  <si>
    <t>Handover Package Sep A</t>
  </si>
  <si>
    <t>Handover Package Sep B</t>
  </si>
  <si>
    <t>Handover Package 
CoGC (Infrastructure)</t>
  </si>
  <si>
    <t>Handover Package CoGC W&amp;W</t>
  </si>
  <si>
    <t>Handover Package PUP</t>
  </si>
  <si>
    <t>Completions-Handover Package Volume Ref</t>
  </si>
  <si>
    <t>Completions-Handover Package Book Ref</t>
  </si>
  <si>
    <t>Completions-Handover Package Chapter Ref</t>
  </si>
  <si>
    <t>Completions-Document Deliverable(s)</t>
  </si>
  <si>
    <t>Completions-Format</t>
  </si>
  <si>
    <t>Completions-Discipline Input</t>
  </si>
  <si>
    <t>Completions-Champion</t>
  </si>
  <si>
    <t>Completions-Owner</t>
  </si>
  <si>
    <t>Completions-Priority</t>
  </si>
  <si>
    <t>Completions-Comments</t>
  </si>
  <si>
    <t>14 Jul Exception list</t>
  </si>
  <si>
    <t>27 Jul Exception list</t>
  </si>
  <si>
    <t>Completions-IV Verification</t>
  </si>
  <si>
    <t>VW_d2K3kJxIEe2kOcgSyHQxsg</t>
  </si>
  <si>
    <t>cpm-export</t>
  </si>
  <si>
    <t>Handover Package TMR (SCR)</t>
  </si>
  <si>
    <t>TMR (SCR)</t>
  </si>
  <si>
    <t>CoGC (Infrastructure)</t>
  </si>
  <si>
    <t>PUP</t>
  </si>
  <si>
    <t>CoGC W\&amp;W</t>
  </si>
  <si>
    <t>Sep A Potential Exception to Handover</t>
  </si>
  <si>
    <t>RVTM-Process</t>
  </si>
  <si>
    <t>Process Area</t>
  </si>
  <si>
    <t>Verification-Process</t>
  </si>
  <si>
    <t>VW_ocyKUK1EEeuReJpTmFcOUA</t>
  </si>
  <si>
    <t>rvtm-process-export</t>
  </si>
  <si>
    <t>Process Verification Remarks</t>
  </si>
  <si>
    <t>20231013_RNA_CSBL_VCRM_Version_M</t>
  </si>
  <si>
    <t>_V0Y5MGmuEe6t9fVZyzap8w</t>
  </si>
  <si>
    <t>20231018_RNA_CSBL_VCRM_Version_N</t>
  </si>
  <si>
    <t>_JrHVwG2JEe6t9fVZyzap8w</t>
  </si>
  <si>
    <t>Proposed validation method</t>
  </si>
  <si>
    <t>20231020_RNA_CSBL_Onboard_Version_C</t>
  </si>
  <si>
    <t>_x0okUG7yEe6t9fVZyzap8w</t>
  </si>
  <si>
    <t>QTMP-Module</t>
  </si>
  <si>
    <t>VW_sxNZYGDeEe6p7qypyj0L2g</t>
  </si>
  <si>
    <t>MFG Faciltiy Spec TMB</t>
  </si>
  <si>
    <t>VW_lJNvAGZJEe6p7qypyj0L2g</t>
  </si>
  <si>
    <t>_me_80NEeEe6RtZTyR6mBNA</t>
  </si>
  <si>
    <t>CO-001</t>
  </si>
  <si>
    <t>_6Fs-MMxeEe62-4yL3nGuGw</t>
  </si>
  <si>
    <t>20240216_RNA_CSBL_SIG_SRDS_ADD_D9Update</t>
  </si>
  <si>
    <t>dv-PD-002</t>
  </si>
  <si>
    <t>_Sl4iEMykEe6B0qJfdzx04g</t>
  </si>
  <si>
    <t>_kimL4MbpEe6B0qJfdzx04g</t>
  </si>
  <si>
    <t>dv-PD-001</t>
  </si>
  <si>
    <t>_fxd2gM-tEe6B0qJfdzx04g</t>
  </si>
  <si>
    <t>dv-PD-003</t>
  </si>
  <si>
    <t>dv-PD-004</t>
  </si>
  <si>
    <t>dv-PD-005</t>
  </si>
  <si>
    <t>_K71oINOiEe6RtZTyR6mBNA</t>
  </si>
  <si>
    <t>_BE20kNE0Ee6RtZTyR6mBNA</t>
  </si>
  <si>
    <t>_HTlaoNT4Ee6RtZTyR6mBNA</t>
  </si>
  <si>
    <t>dv-PD-006</t>
  </si>
  <si>
    <t>dv-PD-007</t>
  </si>
  <si>
    <t>_j4bMENOjEe6RtZTyR6mBNA</t>
  </si>
  <si>
    <t>_QgMsYNXCEe6RtZTyR6mBNA</t>
  </si>
  <si>
    <t>dv-PD-008</t>
  </si>
  <si>
    <t>_Ep7h8JQ2EeyD6u853Wthwg</t>
  </si>
  <si>
    <t>dv-PD-009</t>
  </si>
  <si>
    <t>All Requirement Clause Artefacts</t>
  </si>
  <si>
    <t>none</t>
  </si>
  <si>
    <t>VW_HyKeQJQ2EeyD6u853Wthwg</t>
  </si>
  <si>
    <t>VW_HyKeSZQ2EeyD6u853Wthwg</t>
  </si>
  <si>
    <t>All Modules</t>
  </si>
  <si>
    <t>Requirement Owner</t>
  </si>
  <si>
    <t>Requirement Allocation _TOBEDELETED</t>
  </si>
  <si>
    <t>VW_HyKeQ5Q2EeyD6u853Wthwg</t>
  </si>
  <si>
    <t>_TOBEDELETED</t>
  </si>
  <si>
    <t>RA _TOBEDELETED</t>
  </si>
  <si>
    <t>Identifier</t>
  </si>
  <si>
    <t>SRLG</t>
  </si>
  <si>
    <t>VW_JgbVMMOrEe6B0qJfdzx04g</t>
  </si>
  <si>
    <t>30 - All Contractor Requirement</t>
  </si>
  <si>
    <t>Suburban Rail Loop WP-G</t>
  </si>
  <si>
    <t>SRLA-ID</t>
  </si>
  <si>
    <t>System Allocation</t>
  </si>
  <si>
    <t>Tender Allocation</t>
  </si>
  <si>
    <t>Compliance Comment</t>
  </si>
  <si>
    <t>Comment</t>
  </si>
  <si>
    <t>VW_mu3c8NmyEe6YqtncCjh_Gw</t>
  </si>
  <si>
    <t>RVTM Status</t>
  </si>
  <si>
    <t>Requirement Source Reference</t>
  </si>
  <si>
    <t>Package/Plan</t>
  </si>
  <si>
    <t>Comments - Verification</t>
  </si>
  <si>
    <t>Subsystem/Discipline Allocation</t>
  </si>
  <si>
    <t>Hazard ID</t>
  </si>
  <si>
    <t>Verified by</t>
  </si>
  <si>
    <t>Validation Method</t>
  </si>
  <si>
    <t>Validation Evidence</t>
  </si>
  <si>
    <t>Validated by</t>
  </si>
  <si>
    <t>Validation result</t>
  </si>
  <si>
    <t>Comments - Validation</t>
  </si>
  <si>
    <t>_cNaksL8JEe6B0qJfdzx04g</t>
  </si>
  <si>
    <t>Tender Submission 29-08-23</t>
  </si>
  <si>
    <t>_Tz5foNuSEe6YqtncCjh_Gw</t>
  </si>
  <si>
    <t>VW_neG9y8O0Ee2f1v5o-AwQcQ</t>
  </si>
  <si>
    <t>RVTM Owner</t>
  </si>
  <si>
    <t>RVTM Portion</t>
  </si>
  <si>
    <t>RVTM System</t>
  </si>
  <si>
    <t>VW_jUHZkNg2Ee2M_oNVSeejow</t>
  </si>
  <si>
    <t>VW_GjlucFW_Ee6kjMEtznBw7A</t>
  </si>
  <si>
    <t>_QcFHsFK4Ee6u9tyWOACe5g</t>
  </si>
  <si>
    <t>Addressed or Deleted</t>
  </si>
  <si>
    <t>Module Id</t>
  </si>
  <si>
    <t>NEL</t>
  </si>
  <si>
    <t>_J15vUN5rEeyiT4YtHX2RZA</t>
  </si>
  <si>
    <t>VW_MnNZ995rEeyiT4YtHX2RZA</t>
  </si>
  <si>
    <t>REI-P16911 - North East Link - Secondary Package Eastern Freeway (West)</t>
  </si>
  <si>
    <t>CWO-REZ</t>
  </si>
  <si>
    <t>P18640 - CWO REZ Non-Contestable Portions</t>
  </si>
  <si>
    <t>_MSzLkOG6Ee6OuLrTraip6w</t>
  </si>
  <si>
    <t>VW_Q6-3o-G6Ee6OuLrTraip6w</t>
  </si>
  <si>
    <t>_t1TwgOKMEe6OuLrTraip6w</t>
  </si>
  <si>
    <t>dv-PD-012</t>
  </si>
  <si>
    <t>_zxNnwNy5Ee6OuLrTraip6w</t>
  </si>
  <si>
    <t>dv-PD-011</t>
  </si>
  <si>
    <t>REI-Validation Actions</t>
  </si>
  <si>
    <t>VW_I1RysOr4Ee6xebi3FytLJA</t>
  </si>
  <si>
    <t>_z4rsEOs7Ee6xebi3FytLJA</t>
  </si>
  <si>
    <t>20240326_RNA_CSBL_VCRM_Vers_Q</t>
  </si>
  <si>
    <t>REI-VCRM Project Requirements</t>
  </si>
  <si>
    <t>REI-VCRM System Requirements</t>
  </si>
  <si>
    <t>VW_TM4S8ApMEe6my9AIlP-Law</t>
  </si>
  <si>
    <t>VW_xAOm8ApMEe6my9AIlP-Law</t>
  </si>
  <si>
    <t>Addressed or Deleted-Design</t>
  </si>
  <si>
    <t>Subsystem</t>
  </si>
  <si>
    <t>Validation Status</t>
  </si>
  <si>
    <t>Validation Remarks</t>
  </si>
  <si>
    <t>VW_HyKeOZQ2EeyD6u853Wthwg</t>
  </si>
  <si>
    <t>Package&amp;Type&amp;V&amp;V Phase</t>
  </si>
  <si>
    <t>Package&amp;Status&amp;Closed-Design</t>
  </si>
  <si>
    <t>Status&amp;Type&amp;V&amp;V Phase</t>
  </si>
  <si>
    <t>No Status&amp;V&amp;V Phase</t>
  </si>
  <si>
    <t>Plan RVTM</t>
  </si>
  <si>
    <t>VW_cCuOwLQgEe6cBeuG9tsb8w</t>
  </si>
  <si>
    <t>Plan RVTM View</t>
  </si>
  <si>
    <t>Plan</t>
  </si>
  <si>
    <t>Process Verification Evidence</t>
  </si>
  <si>
    <t>Process Verification Status</t>
  </si>
  <si>
    <t>Process verified by|Document No</t>
  </si>
  <si>
    <t>satisfied by.Plan RVTM</t>
  </si>
  <si>
    <t>RVTM(Design)</t>
  </si>
  <si>
    <t>_rpr5UOW0Ee6OuLrTraip6w</t>
  </si>
  <si>
    <t>dv-PD-013</t>
  </si>
  <si>
    <t>dv-PD-014</t>
  </si>
  <si>
    <t>_uFLY4OyaEe6lc8wQaT61kw</t>
  </si>
  <si>
    <t>dv-PD-015</t>
  </si>
  <si>
    <t>_6AXmQPGBEe6lc8wQaT61kw</t>
  </si>
  <si>
    <t>LGC</t>
  </si>
  <si>
    <t>PRS-16544 - Logan and Gold Coast Faster Rail Quadruplication - Rail Package</t>
  </si>
  <si>
    <t>_P1P8oPLnEe6lc8wQaT61kw</t>
  </si>
  <si>
    <t>VW_GeaFFPLuEe6lc8wQaT61kw</t>
  </si>
  <si>
    <t>VW_GeaE9vLuEe6lc8wQaT61kw</t>
  </si>
  <si>
    <t>\jhgrei.clm.ibmcloud.com</t>
  </si>
  <si>
    <t>https://jhgrei.clm.ibmcloud.com</t>
  </si>
  <si>
    <t>_zjsNIPdoEe6lc8wQaT61kw</t>
  </si>
  <si>
    <t>dv-PD-018</t>
  </si>
  <si>
    <t>dv-PD-017</t>
  </si>
  <si>
    <t>_gOnosPLwEe6lc8wQaT61kw</t>
  </si>
  <si>
    <t>_HRDnoPLfEe6lc8wQaT61kw</t>
  </si>
  <si>
    <t>dv-PD-016</t>
  </si>
  <si>
    <t>_CwaFgPhGEe6lc8wQaT61kw</t>
  </si>
  <si>
    <t>dv-PD-019</t>
  </si>
  <si>
    <t>_nmbpsPhUEe6lc8wQaT61kw</t>
  </si>
  <si>
    <t>dv-PD-020</t>
  </si>
  <si>
    <t>20240411_RNA_CSBL_Onboard_Version_D</t>
  </si>
  <si>
    <t>_n7824PfJEe6xebi3FytLJA</t>
  </si>
  <si>
    <t>_T-X0cPiVEe6lc8wQaT61kw</t>
  </si>
  <si>
    <t>dv-PD-021</t>
  </si>
  <si>
    <t>satisfied by.Plan RVTM|process verified by</t>
  </si>
  <si>
    <t>Unallocated-PLN&amp;Type</t>
  </si>
  <si>
    <t>dv-PD-022</t>
  </si>
  <si>
    <t>dv-PD-023</t>
  </si>
  <si>
    <t>dv-PD-024</t>
  </si>
  <si>
    <t>dv-PD-025</t>
  </si>
  <si>
    <t>dv-PD-026</t>
  </si>
  <si>
    <t>dv-PD-027</t>
  </si>
  <si>
    <t>dv-PD-028</t>
  </si>
  <si>
    <t>_TqRN0Az7Ee-RrvyhAfrZrQ</t>
  </si>
  <si>
    <t>_YlJNMAzLEe-RrvyhAfrZrQ</t>
  </si>
  <si>
    <t>_R2IJIAg5Ee-RrvyhAfrZrQ</t>
  </si>
  <si>
    <t>_djxZAAXpEe-RrvyhAfrZrQ</t>
  </si>
  <si>
    <t>_K63hQP3zEe6CCazfPmwkrQ</t>
  </si>
  <si>
    <t>_RdR5oP3YEe6CCazfPmwkrQ</t>
  </si>
  <si>
    <t>_PaCOoPxbEe6lc8wQaT61kw</t>
  </si>
  <si>
    <t>Requirement Id</t>
  </si>
  <si>
    <t>Client Id</t>
  </si>
  <si>
    <t>Tender Discipline/Plan Level 1</t>
  </si>
  <si>
    <t>Tender Discipline/Plan Level 2</t>
  </si>
  <si>
    <t>Tender Discipline/Plan Level 3</t>
  </si>
  <si>
    <t>Relevant&amp;V&amp;V Phase</t>
  </si>
  <si>
    <t>Relevant&amp;V&amp;V Phase&amp;Package&amp;Status</t>
  </si>
  <si>
    <t>Relevant&amp;V&amp;V Phase&amp;Untraced&amp;Status</t>
  </si>
  <si>
    <t>Relevant&amp;V&amp;V Phase&amp;Untraced</t>
  </si>
  <si>
    <t>J:\common\Perl\strawberry-perl-5.30.3.1-64bit-portable</t>
  </si>
  <si>
    <t>VW_E29RoBJ5Ee-RrvyhAfrZrQ</t>
  </si>
  <si>
    <t>Design Verification Title</t>
  </si>
  <si>
    <t>Design Verification Reference</t>
  </si>
  <si>
    <t>_rhz2cNdgEe6YqtncCjh_Gw</t>
  </si>
  <si>
    <t>1-3-2024 Backup</t>
  </si>
  <si>
    <t>03 Verification and Validation</t>
  </si>
  <si>
    <t>Package Owner</t>
  </si>
  <si>
    <t>Package Portion</t>
  </si>
  <si>
    <t>Package Status</t>
  </si>
  <si>
    <t>Package System</t>
  </si>
  <si>
    <t>RVTM(PV)</t>
  </si>
  <si>
    <t>x</t>
  </si>
  <si>
    <t>02 Verification-Production/Validation</t>
  </si>
  <si>
    <t>rvtm-prod-val-export</t>
  </si>
  <si>
    <t>VW_HyKePJQ2EeyD6u853Wthwg</t>
  </si>
  <si>
    <t>All Modules.txt</t>
  </si>
  <si>
    <t>RVTM(Plan)</t>
  </si>
  <si>
    <t>process verified by</t>
  </si>
  <si>
    <t>Plan RVTM View.txt</t>
  </si>
  <si>
    <t>document-register-export.txt</t>
  </si>
  <si>
    <t>Item=~s/ .*//&amp;":"&amp;Design Verification Method</t>
  </si>
  <si>
    <t>Item=~s/ .*//&amp;":"&amp;Design Verification Evidence</t>
  </si>
  <si>
    <t>Item=~s/ .*//&amp;":"&amp;Design Verification Status</t>
  </si>
  <si>
    <t>Requirement Context</t>
  </si>
  <si>
    <t>Tender Requirement Owner</t>
  </si>
  <si>
    <t>Tender Owner(Requirement)</t>
  </si>
  <si>
    <t>Applicable&amp;V&amp;V Phase</t>
  </si>
  <si>
    <t>Applicable&amp;V&amp;V Phase&amp;Package&amp;Status</t>
  </si>
  <si>
    <t>Applicable&amp;V&amp;V Phase&amp;Untraced&amp;Status</t>
  </si>
  <si>
    <t>Applicable&amp;V&amp;V Phase&amp;Untraced</t>
  </si>
  <si>
    <t>Package&amp;Requirement ID</t>
  </si>
  <si>
    <t>Package&amp;Requirement ID&amp;V&amp;V Phase</t>
  </si>
  <si>
    <t>Production Verification Test Type</t>
  </si>
  <si>
    <t>Production Verification Result</t>
  </si>
  <si>
    <t>Validation Test Type</t>
  </si>
  <si>
    <t>Validation Result</t>
  </si>
  <si>
    <t>ratm-tender-export</t>
  </si>
  <si>
    <t>VW_H6XGQPhkEe6lc8wQaT61kw</t>
  </si>
  <si>
    <t>dv-PD-041</t>
  </si>
  <si>
    <t>_IOtHAC1IEe-_f4LOsnNIbA</t>
  </si>
  <si>
    <t>HF Issues</t>
  </si>
  <si>
    <t>VW_HyKeTJQ2EeyD6u853Wthwg</t>
  </si>
  <si>
    <t>Date Identified</t>
  </si>
  <si>
    <t xml:space="preserve">Area </t>
  </si>
  <si>
    <t>Name=~s/ .*//</t>
  </si>
  <si>
    <t>Consequences</t>
  </si>
  <si>
    <t>Initial Priority Assessment</t>
  </si>
  <si>
    <t>Last Updated</t>
  </si>
  <si>
    <t>Issue Commentary</t>
  </si>
  <si>
    <t>Actions</t>
  </si>
  <si>
    <t>Derived Requirements</t>
  </si>
  <si>
    <t>Standards/Requirements reference</t>
  </si>
  <si>
    <t>Doors ID</t>
  </si>
  <si>
    <t>Rationale for Issue Closure and Evidence</t>
  </si>
  <si>
    <t>Project Hazard Log Reference</t>
  </si>
  <si>
    <t>Closing Date</t>
  </si>
  <si>
    <t>Suggested Package</t>
  </si>
  <si>
    <t>Package Suggested-in</t>
  </si>
  <si>
    <t>_O67IQCxUEe-_f4LOsnNIbA</t>
  </si>
  <si>
    <t>dv-PD-040</t>
  </si>
  <si>
    <t>Open&amp;Type&amp;V&amp;V Phase</t>
  </si>
  <si>
    <t>Open</t>
  </si>
  <si>
    <t>Unallocated-PKG&amp;Type</t>
  </si>
  <si>
    <t>Item=~s/ .*//&amp;":"&amp;Design Verification Remarks</t>
  </si>
  <si>
    <t>Item=~s/ .*//&amp;":"&amp;Process Verification Remarks</t>
  </si>
  <si>
    <t>Not working yet</t>
  </si>
  <si>
    <t>Tender WBS Disciplines</t>
  </si>
  <si>
    <t>Execution #1</t>
  </si>
  <si>
    <t>_W_c-kEAMEe-_f4LOsnNIbA</t>
  </si>
  <si>
    <t>Post-Tender</t>
  </si>
  <si>
    <t>_cDHVkD5zEe-_f4LOsnNIbA</t>
  </si>
  <si>
    <t>B2A</t>
  </si>
  <si>
    <t>#B2A</t>
  </si>
  <si>
    <t>_1-Qq8FjfEe6kjMEtznBw7A</t>
  </si>
  <si>
    <t>Project - Inland Rail Beveridge to Albury (B2A) Tranche 2</t>
  </si>
  <si>
    <t>VW_Rso2nFjgEe6kjMEtznBw7A</t>
  </si>
  <si>
    <t>Previous Reqt. Id</t>
  </si>
  <si>
    <t>Previous Reqt. Text</t>
  </si>
  <si>
    <t>(REI)Revises</t>
  </si>
  <si>
    <t>design verified by|Document No(Doc. Ref.)&amp;":"&amp;Document Title(Title)</t>
  </si>
  <si>
    <t>VCRM(Design)</t>
  </si>
  <si>
    <t>VW_RsoPnljgEe6kjMEtznBw7A</t>
  </si>
  <si>
    <t>Tender Submission</t>
  </si>
  <si>
    <t>_i5C3MCodEe-_f4LOsnNIbA</t>
  </si>
  <si>
    <t>BDP</t>
  </si>
  <si>
    <t>Belmont Desalination Plant</t>
  </si>
  <si>
    <t>_VQ5eEFRwEe-Th9KpKuFqgw</t>
  </si>
  <si>
    <t>VW_XphifVRwEe-Th9KpKuFqgw</t>
  </si>
  <si>
    <t>RAATM(L1)</t>
  </si>
  <si>
    <t>RAATM(L2)</t>
  </si>
  <si>
    <t>Item&amp;":"&amp;Design Verification Status</t>
  </si>
  <si>
    <t>Item&amp;":"&amp;Process Verification Status</t>
  </si>
  <si>
    <t>Package:Status</t>
  </si>
  <si>
    <t>Plan:Status</t>
  </si>
  <si>
    <t>CO-003</t>
  </si>
  <si>
    <t>_FPBX4FHpEe-Th9KpKuFqgw</t>
  </si>
  <si>
    <t>Tender Compliance Reviewed By</t>
  </si>
  <si>
    <t>Tender Compliance Confidence</t>
  </si>
  <si>
    <t>Tender Compliance Evidence</t>
  </si>
  <si>
    <t>Tender Departure Reference No.</t>
  </si>
  <si>
    <t>RVTM(Tender)</t>
  </si>
  <si>
    <t>Link: Delivers</t>
  </si>
  <si>
    <t>Design Verified By</t>
  </si>
  <si>
    <t>Design Verified On</t>
  </si>
  <si>
    <t>Validation method</t>
  </si>
  <si>
    <t>Commissioning Stage</t>
  </si>
  <si>
    <t>_BUefsFrCEe-7v8CkK21Vbw</t>
  </si>
  <si>
    <t>Sydney Metro West - Line Wide Systems</t>
  </si>
  <si>
    <t>SMW-LW</t>
  </si>
  <si>
    <t>VW_cBbDf1rCEe-7v8CkK21Vbw</t>
  </si>
  <si>
    <t>RATM-export</t>
  </si>
  <si>
    <t>Id</t>
  </si>
  <si>
    <t>Reqt. Reference</t>
  </si>
  <si>
    <t>Reqt. Clause</t>
  </si>
  <si>
    <t>Reqt. Text</t>
  </si>
  <si>
    <t>Reqt. Type</t>
  </si>
  <si>
    <t>Design Verification Comment</t>
  </si>
  <si>
    <t>Tender Proposed Design Verification Method</t>
  </si>
  <si>
    <t>Tender Proposed Validation Method</t>
  </si>
  <si>
    <t>dv-PD-042</t>
  </si>
  <si>
    <t>dv-PD-043</t>
  </si>
  <si>
    <t>dv-PD-044</t>
  </si>
  <si>
    <t>dv-PD-045</t>
  </si>
  <si>
    <t>dv-PD-046</t>
  </si>
  <si>
    <t>dv-PD-047</t>
  </si>
  <si>
    <t>dv-PD-048</t>
  </si>
  <si>
    <t>dv-PD-049</t>
  </si>
  <si>
    <t>dv-PD-050</t>
  </si>
  <si>
    <t>dv-PD-051</t>
  </si>
  <si>
    <t>dv-PD-052</t>
  </si>
  <si>
    <t>dv-PD-053</t>
  </si>
  <si>
    <t>dv-PD-054</t>
  </si>
  <si>
    <t>dv-PD-055</t>
  </si>
  <si>
    <t>dv-PD-056</t>
  </si>
  <si>
    <t>dv-PD-057</t>
  </si>
  <si>
    <t>dv-PD-058</t>
  </si>
  <si>
    <t>dv-PD-059</t>
  </si>
  <si>
    <t>dv-PD-060</t>
  </si>
  <si>
    <t>dv-PD-061</t>
  </si>
  <si>
    <t>_RWwZgGaUEe-hnf-mGUuNzw</t>
  </si>
  <si>
    <t>__64h0GTNEe-aXaefzlAMuQ</t>
  </si>
  <si>
    <t>_J_vaoGNdEe-xR4ipQUfRXg</t>
  </si>
  <si>
    <t>_mW3CQGAdEe-xR4ipQUfRXg</t>
  </si>
  <si>
    <t>_67OYEFqUEe-7v8CkK21Vbw</t>
  </si>
  <si>
    <t>_pEvBUFkYEe-Th9KpKuFqgw</t>
  </si>
  <si>
    <t>_eqvzMFU9Ee-Th9KpKuFqgw</t>
  </si>
  <si>
    <t>_V2ADYFO5Ee-Th9KpKuFqgw</t>
  </si>
  <si>
    <t>__qFCUFONEe-Th9KpKuFqgw</t>
  </si>
  <si>
    <t>_ciRNkE_IEe-Th9KpKuFqgw</t>
  </si>
  <si>
    <t>_c5xSAE7gEe-Th9KpKuFqgw</t>
  </si>
  <si>
    <t>_7zY6gEu_Ee-epZICZY2Qmg</t>
  </si>
  <si>
    <t>_Esyy8EiFEe-_38MZhIfIFg</t>
  </si>
  <si>
    <t>_eCG8IEP1Ee-_f4LOsnNIbA</t>
  </si>
  <si>
    <t>_LFrl8D_lEe-_f4LOsnNIbA</t>
  </si>
  <si>
    <t>_miE5cD8QEe-_f4LOsnNIbA</t>
  </si>
  <si>
    <t>_r7yoUDg6Ee-_f4LOsnNIbA</t>
  </si>
  <si>
    <t>_fuzlkDdfEe-_f4LOsnNIbA</t>
  </si>
  <si>
    <t>_SfbdoDRTEe-_f4LOsnNIbA</t>
  </si>
  <si>
    <t>_WZ81kDKqEe-_f4LOsnNIbA</t>
  </si>
  <si>
    <t>CO-002</t>
  </si>
  <si>
    <t>_ZXq3oD6iEe-_f4LOsnNIbA</t>
  </si>
  <si>
    <t>V&amp;V Phase&amp;Type&amp;Design Verified</t>
  </si>
  <si>
    <t>V&amp;V Phase&amp;Type&amp;Production Verified</t>
  </si>
  <si>
    <t>V&amp;V Phase&amp;Type&amp;Validated</t>
  </si>
  <si>
    <t>V&amp;V Phase&amp;Type&amp;Process Verified</t>
  </si>
  <si>
    <t>V&amp;V Phase&amp;Type&amp;Status</t>
  </si>
  <si>
    <t>Reqt. Status</t>
  </si>
  <si>
    <t>VW_XNcmQGQGEe-xR4ipQUfRXg</t>
  </si>
  <si>
    <t>Tender Requirements View</t>
  </si>
  <si>
    <t>RATM_tender-export</t>
  </si>
  <si>
    <t>T2D</t>
  </si>
  <si>
    <t>SADIT - River Torrens to Darlington</t>
  </si>
  <si>
    <t>_E5k-0E0bEe6u9tyWOACe5g</t>
  </si>
  <si>
    <t>VW_JxAn000bEe6u9tyWOACe5g</t>
  </si>
  <si>
    <t>_DqelgInDEe6UhevbeuQKDw</t>
  </si>
  <si>
    <t>PLR2</t>
  </si>
  <si>
    <t>Parramatta Light Rail (Stage 2) - Enabling Works</t>
  </si>
  <si>
    <t>VW_XypNr4nDEe6UhevbeuQKDw</t>
  </si>
  <si>
    <t>_jXVIgHinEe-QWsx21aTm6Q</t>
  </si>
  <si>
    <t>Pre-Execution Version #1</t>
  </si>
  <si>
    <t>HFIR ID</t>
  </si>
  <si>
    <t>Brief title</t>
  </si>
  <si>
    <t>Sub system</t>
  </si>
  <si>
    <t>HF Issue</t>
  </si>
  <si>
    <t>Risk</t>
  </si>
  <si>
    <t>Likelihood</t>
  </si>
  <si>
    <t>Consequence</t>
  </si>
  <si>
    <t>Mitigation</t>
  </si>
  <si>
    <t>Activity / progress</t>
  </si>
  <si>
    <t>Evidence Reference</t>
  </si>
  <si>
    <t>Date Closed</t>
  </si>
  <si>
    <t>Requirement</t>
  </si>
  <si>
    <t>O&amp;M</t>
  </si>
  <si>
    <t>Derived Requirement Text</t>
  </si>
  <si>
    <t>Safety</t>
  </si>
  <si>
    <t>VW_Rso2kFjgEe6kjMEtznBw7A</t>
  </si>
  <si>
    <t>O\&amp;M</t>
  </si>
  <si>
    <t>Name</t>
  </si>
  <si>
    <t>B2A-IRPL</t>
  </si>
  <si>
    <t>Sandbox - B2A T2 Contractor</t>
  </si>
  <si>
    <t>artcir.clm.ibmcloud.com</t>
  </si>
  <si>
    <t>_XKP1gHr1Ee-HTs3aSkl0TA</t>
  </si>
  <si>
    <t>B2A-IRPLS</t>
  </si>
  <si>
    <t>_hlegAC8dEe2vkIXQelz61w</t>
  </si>
  <si>
    <t>Requirements Specification</t>
  </si>
  <si>
    <t>Risk Rating [JHG]</t>
  </si>
  <si>
    <t>Export PSR</t>
  </si>
  <si>
    <t>Satisfied By</t>
  </si>
  <si>
    <t>SSRS</t>
  </si>
  <si>
    <t>VW_f3uHcICREe-HTs3aSkl0TA</t>
  </si>
  <si>
    <t>VW_T7aFYHx-Ee-HTs3aSkl0TA</t>
  </si>
  <si>
    <t>SSRS Export</t>
  </si>
  <si>
    <t>Subsystem Owner</t>
  </si>
  <si>
    <t>SME Discipline</t>
  </si>
  <si>
    <t>PRS ID</t>
  </si>
  <si>
    <t>B2A T2 Contractor (Requirements)</t>
  </si>
  <si>
    <t>VW_nlS8QHxhEe-HTs3aSkl0TA</t>
  </si>
  <si>
    <t>Verified By</t>
  </si>
  <si>
    <t>VCRM</t>
  </si>
  <si>
    <t>Verification Method</t>
  </si>
  <si>
    <t>Responsible Party</t>
  </si>
  <si>
    <t>Verification Test Type</t>
  </si>
  <si>
    <t>V and V Result</t>
  </si>
  <si>
    <t>Executed by</t>
  </si>
  <si>
    <t>Executed on</t>
  </si>
  <si>
    <t>Verification Status</t>
  </si>
  <si>
    <t>Evidence Document</t>
  </si>
  <si>
    <t>Evidence Document Section</t>
  </si>
  <si>
    <t>SME Review Remarks</t>
  </si>
  <si>
    <t>SME Review Status</t>
  </si>
  <si>
    <t>Execution Comments</t>
  </si>
  <si>
    <t>Verifies</t>
  </si>
  <si>
    <t>Proposed V&amp;V Method</t>
  </si>
  <si>
    <t>Tender Proposed Plan</t>
  </si>
  <si>
    <t>Tender Compliance Status</t>
  </si>
  <si>
    <t>Tender Compliance Status&amp;" "&amp;Tender Departure Reference No.</t>
  </si>
  <si>
    <t>Section</t>
  </si>
  <si>
    <t>Parent Headings</t>
  </si>
  <si>
    <t>VCRM(JH)</t>
  </si>
  <si>
    <t>Old Id</t>
  </si>
  <si>
    <t>VW_kHFjUHuNEe-HTs3aSkl0TA</t>
  </si>
  <si>
    <t>VW_jCCtsHzIEe-HTs3aSkl0TA</t>
  </si>
  <si>
    <t>Allocation Id</t>
  </si>
  <si>
    <t>State (Requirement Status)</t>
  </si>
  <si>
    <t>Not Used</t>
  </si>
  <si>
    <t>Process RVTM</t>
  </si>
  <si>
    <t>Process Verification</t>
  </si>
  <si>
    <t>VW_gY4GMJHIEe-i4vA_UVZ6xQ</t>
  </si>
  <si>
    <t>Verification and Validation</t>
  </si>
  <si>
    <t>VW_csyCMJG4Ee-i4vA_UVZ6xQ</t>
  </si>
  <si>
    <t>Requirement Comments</t>
  </si>
  <si>
    <t>RAATM(PLRS2EW)</t>
  </si>
  <si>
    <t>Requirement level</t>
  </si>
  <si>
    <t>Object Type&amp;": "&amp;Requirement Type</t>
  </si>
  <si>
    <t>Satisfies Parent</t>
  </si>
  <si>
    <t>Satisfies Control</t>
  </si>
  <si>
    <t>control-register-export</t>
  </si>
  <si>
    <t>adc-register-export</t>
  </si>
  <si>
    <t>VW_XypNtInDEe6UhevbeuQKDw</t>
  </si>
  <si>
    <t>VW_XypNu4nDEe6UhevbeuQKDw</t>
  </si>
  <si>
    <t>Derived From</t>
  </si>
  <si>
    <t>Satisfied ADC</t>
  </si>
  <si>
    <t>Satisfied By.Process</t>
  </si>
  <si>
    <t>Satisfied By.Technical</t>
  </si>
  <si>
    <t>Satisfies.Technical</t>
  </si>
  <si>
    <t>Description</t>
  </si>
  <si>
    <t>Requirement approval status</t>
  </si>
  <si>
    <t>Object type</t>
  </si>
  <si>
    <t>Requirement type</t>
  </si>
  <si>
    <t>Requirement category</t>
  </si>
  <si>
    <t>Requirement delivery phase</t>
  </si>
  <si>
    <t>Proposed Production Verification Method</t>
  </si>
  <si>
    <t>Proposed Production Verification test type</t>
  </si>
  <si>
    <t>Proposed Validation test type</t>
  </si>
  <si>
    <t>Production Compliance Status</t>
  </si>
  <si>
    <t>Validation Compliance Status</t>
  </si>
  <si>
    <t>Remarks / comments</t>
  </si>
  <si>
    <t>Work Package Owner</t>
  </si>
  <si>
    <t>V\&amp;V Comment</t>
  </si>
  <si>
    <t>Satisfies.Technical|Derived From</t>
  </si>
  <si>
    <t>Satisfies.Technical|Satisfies Control</t>
  </si>
  <si>
    <t>Satisfies.Technical|Satisfied ADC</t>
  </si>
  <si>
    <t>Satisfies.Technical|Primary Text</t>
  </si>
  <si>
    <t>Down-Links</t>
  </si>
  <si>
    <t>Up-Links</t>
  </si>
  <si>
    <t>Down-Links(JH)</t>
  </si>
  <si>
    <t>Verification Id</t>
  </si>
  <si>
    <t>Verification Old Id</t>
  </si>
  <si>
    <t>Up-Links(JH)</t>
  </si>
  <si>
    <t>"PLR-S2-EW-"&amp;ID</t>
  </si>
  <si>
    <t>V&amp;V Identifier</t>
  </si>
  <si>
    <t>Requirement Identifier</t>
  </si>
  <si>
    <t>Particular Specification Baseline 2.2 - #06</t>
  </si>
  <si>
    <t>_eZ5U8JdCEe-i4vA_UVZ6xQ</t>
  </si>
  <si>
    <t>dv-PD-062</t>
  </si>
  <si>
    <t>dv-PD-063</t>
  </si>
  <si>
    <t>dv-PD-064</t>
  </si>
  <si>
    <t>dv-PD-065</t>
  </si>
  <si>
    <t>dv-PD-066</t>
  </si>
  <si>
    <t>dv-PD-067</t>
  </si>
  <si>
    <t>dv-PD-069</t>
  </si>
  <si>
    <t>dv-PD-068</t>
  </si>
  <si>
    <t>dv-PD-070</t>
  </si>
  <si>
    <t>dv-PD-071</t>
  </si>
  <si>
    <t>dv-PD-072</t>
  </si>
  <si>
    <t>dv-PD-073</t>
  </si>
  <si>
    <t>dv-PD-074</t>
  </si>
  <si>
    <t>dv-PD-075</t>
  </si>
  <si>
    <t>dv-PD-076</t>
  </si>
  <si>
    <t>dv-PD-077</t>
  </si>
  <si>
    <t>CO-004</t>
  </si>
  <si>
    <t>_DmTEoGmlEe-hnf-mGUuNzw</t>
  </si>
  <si>
    <t>_4vsbMG5JEe-hnf-mGUuNzw</t>
  </si>
  <si>
    <t>_UWB9oG8REe-hnf-mGUuNzw</t>
  </si>
  <si>
    <t>_2SSG8HChEe-QWsx21aTm6Q</t>
  </si>
  <si>
    <t>_LKCMIHPHEe-QWsx21aTm6Q</t>
  </si>
  <si>
    <t>_f7DUAHlZEe-QWsx21aTm6Q</t>
  </si>
  <si>
    <t>_3S0t0HosEe-QWsx21aTm6Q</t>
  </si>
  <si>
    <t>_YocQoHrbEe-QWsx21aTm6Q</t>
  </si>
  <si>
    <t>_B5O8YH7OEe-QWsx21aTm6Q</t>
  </si>
  <si>
    <t>_ltTgsIETEe-QWsx21aTm6Q</t>
  </si>
  <si>
    <t>_SO0LsIXJEe-QWsx21aTm6Q</t>
  </si>
  <si>
    <t>_xsAl0IXeEe-QWsx21aTm6Q</t>
  </si>
  <si>
    <t>_H65QsIbNEe-QWsx21aTm6Q</t>
  </si>
  <si>
    <t>_5Gt7AJDuEe-i4vA_UVZ6xQ</t>
  </si>
  <si>
    <t>_ApOLsJEGEe-i4vA_UVZ6xQ</t>
  </si>
  <si>
    <t>_8wlJ8JZaEe-i4vA_UVZ6xQ</t>
  </si>
  <si>
    <t>_-ksmEJpDEe-i4vA_UVZ6xQ</t>
  </si>
  <si>
    <t>I2S-IRPLS</t>
  </si>
  <si>
    <t>#B2A-IRPLS</t>
  </si>
  <si>
    <t>Contents</t>
  </si>
  <si>
    <t>#B2A-IRPL</t>
  </si>
  <si>
    <t>VW_v7bt4ESUEe-Ux_u3KhMgAA</t>
  </si>
  <si>
    <t>VW_SSs1erFyEe27uu4Y37nY8A</t>
  </si>
  <si>
    <t>VW_BLqNoJ7sEe-EiqIlad-7MQ</t>
  </si>
  <si>
    <t>Tender Departure Reference No. Old</t>
  </si>
  <si>
    <t>(REI)Departed By</t>
  </si>
  <si>
    <t>Departures(Tender)</t>
  </si>
  <si>
    <t>departures-tender-export</t>
  </si>
  <si>
    <t>VW_qGSGsJgKEe-i4vA_UVZ6xQ</t>
  </si>
  <si>
    <t>/ID</t>
  </si>
  <si>
    <t>/Primary Text</t>
  </si>
  <si>
    <t>Tender Departure Reference No.&amp;":"&amp;Departure Status</t>
  </si>
  <si>
    <t>Tender Departure Reference No. &amp; Status</t>
  </si>
  <si>
    <t>satisfied by.RVTM-Process</t>
  </si>
  <si>
    <t>_EnXYUJyjEe-EiqIlad-7MQ</t>
  </si>
  <si>
    <t>Sandbox - I2S Contractor</t>
  </si>
  <si>
    <t>I2S-IRPL</t>
  </si>
  <si>
    <t>VW_SSs1ebFyEe27uu4Y37nY8A</t>
  </si>
  <si>
    <t>VW_XXH-oKIrEe-EiqIlad-7MQ</t>
  </si>
  <si>
    <t>VW_FrALMJ5GEe-EiqIlad-7MQ</t>
  </si>
  <si>
    <t>dv-FDD-001</t>
  </si>
  <si>
    <t>_F2pnAKZIEe-i4vA_UVZ6xQ</t>
  </si>
  <si>
    <t>_Ag7-wKbFEe-i4vA_UVZ6xQ</t>
  </si>
  <si>
    <t>dv-FDD-002</t>
  </si>
  <si>
    <t>_gxOq0Kh8Ee-v2ImH7b_qnA</t>
  </si>
  <si>
    <t>dv-FDD-003</t>
  </si>
  <si>
    <t>RAATM(IRPL)</t>
  </si>
  <si>
    <t>PSR ID</t>
  </si>
  <si>
    <t>PSR Text</t>
  </si>
  <si>
    <t>Asset Group</t>
  </si>
  <si>
    <t>Approval Status</t>
  </si>
  <si>
    <t>SSR ID</t>
  </si>
  <si>
    <t>SSR Text</t>
  </si>
  <si>
    <t>Proposed Delivery Phase</t>
  </si>
  <si>
    <t>Design Package Allocation</t>
  </si>
  <si>
    <t>Site Allocation</t>
  </si>
  <si>
    <t>Proposed V\&amp;V Method</t>
  </si>
  <si>
    <t>VW_Zg8j0KhrEe-MvYW7MT8bGA</t>
  </si>
  <si>
    <t>VW_WJyssKhpEe-MvYW7MT8bGA</t>
  </si>
  <si>
    <t>RAATM-1</t>
  </si>
  <si>
    <t>RAATM-2</t>
  </si>
  <si>
    <t>VCRM(IRPL)</t>
  </si>
  <si>
    <t>Verification ID</t>
  </si>
  <si>
    <t>Verification Type</t>
  </si>
  <si>
    <t>V&amp;V Method</t>
  </si>
  <si>
    <t>Executed By</t>
  </si>
  <si>
    <t>Verifies|Satisfies</t>
  </si>
  <si>
    <t>Satisfies|ID</t>
  </si>
  <si>
    <t>Satisfies|Primary Text</t>
  </si>
  <si>
    <t>Satisfies|Asset Group</t>
  </si>
  <si>
    <t>Satisfies|Approval Status</t>
  </si>
  <si>
    <t>Satisfies.Process</t>
  </si>
  <si>
    <t>Process Owner</t>
  </si>
  <si>
    <t>Satisfies.Process|Primary Text</t>
  </si>
  <si>
    <t>Satisfies.Process|Derived From</t>
  </si>
  <si>
    <t>Satisfies.Process|Satisfies Control</t>
  </si>
  <si>
    <t>Satisfies.Process|Satisfied ADC</t>
  </si>
  <si>
    <t>Process Compliance Status</t>
  </si>
  <si>
    <t>Particular Specification Baseline 2.3</t>
  </si>
  <si>
    <t>_cv-roK1NEe-v2ImH7b_qnA</t>
  </si>
  <si>
    <t>stream/_CFUn5rFyEe27uu4Y37nY8A</t>
  </si>
  <si>
    <t>dv-FDD-005</t>
  </si>
  <si>
    <t>_mx0ZYKufEe-v2ImH7b_qnA</t>
  </si>
  <si>
    <t>SSR ID (JH)</t>
  </si>
  <si>
    <t>Verification ID (JH)</t>
  </si>
  <si>
    <t>Unallocated</t>
  </si>
  <si>
    <t>VW_5dPK4KxIEe-v2ImH7b_qnA</t>
  </si>
  <si>
    <t>_Link by Attribute</t>
  </si>
  <si>
    <t>VW_SSs1mLFyEe27uu4Y37nY8A</t>
  </si>
  <si>
    <t>Proposed Validation Method</t>
  </si>
  <si>
    <t>Proposed Design Verification Method</t>
  </si>
  <si>
    <t>Proposed Validation Test Type</t>
  </si>
  <si>
    <t>Proposed Production Verification Test Type</t>
  </si>
  <si>
    <t>VCRM-Plan</t>
  </si>
  <si>
    <t>M5</t>
  </si>
  <si>
    <t>dv-FDD-016</t>
  </si>
  <si>
    <t>_YPgowLmQEe-dQLuMLGrmOA</t>
  </si>
  <si>
    <t>dv-FDD-015</t>
  </si>
  <si>
    <t>_muOwoLjWEe-dQLuMLGrmOA</t>
  </si>
  <si>
    <t>dv-FDD-012</t>
  </si>
  <si>
    <t>_R-__kLOTEe-dQLuMLGrmOA</t>
  </si>
  <si>
    <t>dv-FDD-011</t>
  </si>
  <si>
    <t>_sW1DILHLEe-v2ImH7b_qnA</t>
  </si>
  <si>
    <t>dv-FDD-010</t>
  </si>
  <si>
    <t>_nCwOwLE5Ee-v2ImH7b_qnA</t>
  </si>
  <si>
    <t>Execution #3</t>
  </si>
  <si>
    <t>_6BFLYIaDEe-QWsx21aTm6Q</t>
  </si>
  <si>
    <t>VCRM(Plan)</t>
  </si>
  <si>
    <t>Compliance Confidence</t>
  </si>
  <si>
    <t>_9-90sLdAEe-dQLuMLGrmOA</t>
  </si>
  <si>
    <t>P16114 - M5 Westbound Traffic Upgrade</t>
  </si>
  <si>
    <t>IRPL RAATM Export</t>
  </si>
  <si>
    <t>VW_rnVyELObEe-dQLuMLGrmOA</t>
  </si>
  <si>
    <t>IRPL VCRM Export</t>
  </si>
  <si>
    <t>VW_702o4LOjEe-dQLuMLGrmOA</t>
  </si>
  <si>
    <t>I2S-IRPLSRAATMGeneral Requirements View</t>
  </si>
  <si>
    <t>I2S-IRPLSVCRM01 Verification-Design</t>
  </si>
  <si>
    <t>I2S-IRPLSRequirements SpecificationRAATM</t>
  </si>
  <si>
    <t>I2S-IRPLSRAATMRAATM</t>
  </si>
  <si>
    <t>I2S-IRPLSVCRMVCRM</t>
  </si>
  <si>
    <t>VW_CSth_bdBEe-dQLuMLGrmOA</t>
  </si>
  <si>
    <t>_kyEKkLwmEe-dQLuMLGrmOA</t>
  </si>
  <si>
    <t>dv-FDD-017</t>
  </si>
  <si>
    <t>Parent Headings&amp;"\010"&amp;Context</t>
  </si>
  <si>
    <t>VW_tBuLgKMrEe-EiqIlad-7MQ</t>
  </si>
  <si>
    <t>PSR Reference</t>
  </si>
  <si>
    <t>SSRS Reference</t>
  </si>
  <si>
    <t>SSRS ID</t>
  </si>
  <si>
    <t>VW_LPoLsKbpEe-EiqIlad-7MQ</t>
  </si>
  <si>
    <t>Process for Fonts</t>
  </si>
  <si>
    <t>"&lt;b&gt;"&amp;Item&amp;":"&amp;ID&amp;"&lt;/b&gt;\010"</t>
  </si>
  <si>
    <t>_Bjds0M1TEe-dQLuMLGrmOA</t>
  </si>
  <si>
    <t>dv-PD-083</t>
  </si>
  <si>
    <t>_G3VbULXHEe-dQLuMLGrmOA</t>
  </si>
  <si>
    <t>dv-FDD-014</t>
  </si>
  <si>
    <t>_DWokMNOhEe-dQLuMLGrmOA</t>
  </si>
  <si>
    <t>Execution #5</t>
  </si>
  <si>
    <t>IRPL instance I2S</t>
  </si>
  <si>
    <t>RAATM (JH)</t>
  </si>
  <si>
    <t>OBSOLETE</t>
  </si>
  <si>
    <t>_4kA0QDybEe6FWYP6pTWnjA</t>
  </si>
  <si>
    <t>VW_G9jawNRVEe-MvYW7MT8bGA</t>
  </si>
  <si>
    <t>01 Verification-Design (JH)</t>
  </si>
  <si>
    <t>VW_ahY9cNS7Ee-MvYW7MT8bGA</t>
  </si>
  <si>
    <t>02 Verification-Process (JH)</t>
  </si>
  <si>
    <t>VW_p7B00NRWEe-MvYW7MT8bGA</t>
  </si>
  <si>
    <t>General Requirements View (JH)</t>
  </si>
  <si>
    <t>Requirement Clause (JH)</t>
  </si>
  <si>
    <t>Requirement Type (JH)</t>
  </si>
  <si>
    <t>Requirement Status (JH)</t>
  </si>
  <si>
    <t>Requirement Category (JH)</t>
  </si>
  <si>
    <t>Owner(Requirement) (JH)</t>
  </si>
  <si>
    <t>Risk Rating (JH)</t>
  </si>
  <si>
    <t>Process Verification Status (JH)</t>
  </si>
  <si>
    <t>ID (JH)</t>
  </si>
  <si>
    <t>Requirement Delivery Phase (JH)</t>
  </si>
  <si>
    <t>Verification Status (JH)</t>
  </si>
  <si>
    <t>Satisfied By.Plan</t>
  </si>
  <si>
    <t>Requirement ID (JH)</t>
  </si>
  <si>
    <t>Plan Allocation</t>
  </si>
  <si>
    <t>Work Package Allocation</t>
  </si>
  <si>
    <t>Plan Owner</t>
  </si>
  <si>
    <t>Tender Plan Allocation</t>
  </si>
  <si>
    <t>RAATM(JH)</t>
  </si>
  <si>
    <t>Allocation ID (JH)</t>
  </si>
  <si>
    <t>Design Verification Evidence (TB)</t>
  </si>
  <si>
    <t>Reqt. Context</t>
  </si>
  <si>
    <t>_YVj8gNlEEe-sitPxIX8H4w</t>
  </si>
  <si>
    <t>dv-FDD-025</t>
  </si>
  <si>
    <t>VW_L6l0ENoJEe-sitPxIX8H4w</t>
  </si>
  <si>
    <t>PSR</t>
  </si>
  <si>
    <t>VW_9TzE0No_Ee-sitPxIX8H4w</t>
  </si>
  <si>
    <t>SSR Context</t>
  </si>
  <si>
    <t>Satisfies.PSR</t>
  </si>
  <si>
    <t>Satisfies|Satisfies.PSR</t>
  </si>
  <si>
    <t>RAATM(SSRS)</t>
  </si>
  <si>
    <t>RAATM(PSR)</t>
  </si>
  <si>
    <t>Item=~s/ .*//</t>
  </si>
  <si>
    <t>SSR Requirement Type</t>
  </si>
  <si>
    <t>VW_2GiKgNoLEe-sitPxIX8H4w</t>
  </si>
  <si>
    <t>""&amp;Parent Headings&amp;"\010"&amp;Context</t>
  </si>
  <si>
    <t>""&amp;Item=~s/ .*//&amp;":"&amp;Verification Method</t>
  </si>
  <si>
    <t>""&amp;Item=~s/ .*//&amp;":"&amp;Evidence Document</t>
  </si>
  <si>
    <t>""&amp;Item=~s/ .*//&amp;":"&amp;Verification Status (JH)</t>
  </si>
  <si>
    <t>""&amp;Item=~s/ .*//&amp;":"&amp;Remarks</t>
  </si>
  <si>
    <t>""&amp;ID&amp;":\010"&amp;Primary Text</t>
  </si>
  <si>
    <t>""&amp;ID&amp;""</t>
  </si>
  <si>
    <t>Satisfies|Artifact Type</t>
  </si>
  <si>
    <t>New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</si>
</sst>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3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  <scheme val="minor"/>
    </font>
    <font>
      <i/>
      <sz val="11"/>
      <color theme="1"/>
      <name val="Courier New"/>
      <family val="3"/>
    </font>
    <font>
      <b/>
      <sz val="12"/>
      <color theme="1"/>
      <name val="Arial"/>
      <family val="2"/>
    </font>
    <font>
      <b/>
      <sz val="14"/>
      <color rgb="FF000000"/>
      <name val="Calibri"/>
      <family val="2"/>
    </font>
    <font>
      <sz val="11"/>
      <color theme="1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0C3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DDEBF7"/>
      </patternFill>
    </fill>
    <fill>
      <patternFill patternType="solid">
        <fgColor rgb="FF3366FF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8AD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21">
    <xf numFmtId="0" fontId="0" fillId="0" borderId="0"/>
    <xf numFmtId="0" fontId="3" fillId="0" borderId="0"/>
    <xf numFmtId="0" fontId="7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1" fillId="0" borderId="0"/>
    <xf numFmtId="0" fontId="3" fillId="0" borderId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19" borderId="6" applyNumberFormat="0" applyAlignment="0" applyProtection="0"/>
    <xf numFmtId="0" fontId="19" fillId="20" borderId="7" applyNumberFormat="0" applyAlignment="0" applyProtection="0"/>
    <xf numFmtId="0" fontId="20" fillId="20" borderId="6" applyNumberFormat="0" applyAlignment="0" applyProtection="0"/>
    <xf numFmtId="0" fontId="21" fillId="0" borderId="8" applyNumberFormat="0" applyFill="0" applyAlignment="0" applyProtection="0"/>
    <xf numFmtId="0" fontId="22" fillId="21" borderId="9" applyNumberFormat="0" applyAlignment="0" applyProtection="0"/>
    <xf numFmtId="0" fontId="23" fillId="0" borderId="0" applyNumberFormat="0" applyFill="0" applyBorder="0" applyAlignment="0" applyProtection="0"/>
    <xf numFmtId="0" fontId="13" fillId="22" borderId="1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7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5" fillId="38" borderId="0" applyNumberFormat="0" applyBorder="0" applyAlignment="0" applyProtection="0"/>
    <xf numFmtId="0" fontId="25" fillId="42" borderId="0" applyNumberFormat="0" applyBorder="0" applyAlignment="0" applyProtection="0"/>
    <xf numFmtId="0" fontId="25" fillId="46" borderId="0" applyNumberFormat="0" applyBorder="0" applyAlignment="0" applyProtection="0"/>
    <xf numFmtId="0" fontId="28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/>
    <xf numFmtId="43" fontId="11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49" fontId="4" fillId="5" borderId="1" xfId="1" applyNumberFormat="1" applyFont="1" applyFill="1" applyBorder="1" applyAlignment="1">
      <alignment horizontal="left" vertical="top" wrapText="1"/>
    </xf>
    <xf numFmtId="14" fontId="4" fillId="5" borderId="1" xfId="1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12" borderId="1" xfId="0" applyFont="1" applyFill="1" applyBorder="1" applyAlignment="1">
      <alignment horizontal="left" vertical="top" wrapText="1"/>
    </xf>
    <xf numFmtId="0" fontId="2" fillId="13" borderId="1" xfId="0" applyFont="1" applyFill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0" fillId="0" borderId="1" xfId="0" applyBorder="1"/>
    <xf numFmtId="0" fontId="10" fillId="14" borderId="1" xfId="0" applyFont="1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29" fillId="15" borderId="1" xfId="0" applyFont="1" applyFill="1" applyBorder="1"/>
    <xf numFmtId="0" fontId="2" fillId="47" borderId="1" xfId="0" applyFont="1" applyFill="1" applyBorder="1" applyAlignment="1">
      <alignment horizontal="left" vertical="top" wrapText="1"/>
    </xf>
    <xf numFmtId="0" fontId="2" fillId="48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" fontId="4" fillId="9" borderId="1" xfId="1" applyNumberFormat="1" applyFont="1" applyFill="1" applyBorder="1" applyAlignment="1">
      <alignment horizontal="left" vertical="top" wrapText="1"/>
    </xf>
    <xf numFmtId="1" fontId="4" fillId="7" borderId="1" xfId="1" applyNumberFormat="1" applyFont="1" applyFill="1" applyBorder="1" applyAlignment="1">
      <alignment horizontal="left" vertical="top" wrapText="1"/>
    </xf>
    <xf numFmtId="1" fontId="4" fillId="10" borderId="1" xfId="1" applyNumberFormat="1" applyFont="1" applyFill="1" applyBorder="1" applyAlignment="1">
      <alignment horizontal="left" vertical="top" wrapText="1"/>
    </xf>
    <xf numFmtId="49" fontId="4" fillId="6" borderId="1" xfId="1" applyNumberFormat="1" applyFont="1" applyFill="1" applyBorder="1" applyAlignment="1">
      <alignment horizontal="left" vertical="top" wrapText="1"/>
    </xf>
    <xf numFmtId="14" fontId="4" fillId="6" borderId="1" xfId="1" applyNumberFormat="1" applyFont="1" applyFill="1" applyBorder="1" applyAlignment="1">
      <alignment horizontal="left" vertical="top" wrapText="1"/>
    </xf>
    <xf numFmtId="49" fontId="4" fillId="9" borderId="1" xfId="1" applyNumberFormat="1" applyFont="1" applyFill="1" applyBorder="1" applyAlignment="1">
      <alignment horizontal="left" vertical="top" wrapText="1"/>
    </xf>
    <xf numFmtId="1" fontId="4" fillId="8" borderId="1" xfId="1" applyNumberFormat="1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wrapText="1"/>
    </xf>
    <xf numFmtId="164" fontId="8" fillId="11" borderId="1" xfId="2" applyNumberFormat="1" applyFont="1" applyFill="1" applyBorder="1" applyAlignment="1" applyProtection="1">
      <alignment horizontal="left" vertical="top" wrapText="1"/>
      <protection hidden="1"/>
    </xf>
    <xf numFmtId="0" fontId="11" fillId="0" borderId="0" xfId="69"/>
    <xf numFmtId="0" fontId="2" fillId="49" borderId="1" xfId="0" applyFont="1" applyFill="1" applyBorder="1" applyAlignment="1">
      <alignment horizontal="left" vertical="top" wrapText="1"/>
    </xf>
    <xf numFmtId="0" fontId="2" fillId="50" borderId="1" xfId="0" applyFont="1" applyFill="1" applyBorder="1" applyAlignment="1">
      <alignment horizontal="left" vertical="top" wrapText="1"/>
    </xf>
    <xf numFmtId="0" fontId="2" fillId="51" borderId="1" xfId="0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14" borderId="3" xfId="0" applyFont="1" applyFill="1" applyBorder="1" applyAlignment="1">
      <alignment horizontal="left" vertical="top" wrapText="1"/>
    </xf>
    <xf numFmtId="0" fontId="2" fillId="5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64" fontId="8" fillId="11" borderId="12" xfId="2" applyNumberFormat="1" applyFont="1" applyFill="1" applyBorder="1" applyAlignment="1" applyProtection="1">
      <alignment horizontal="left" vertical="top" wrapText="1"/>
      <protection hidden="1"/>
    </xf>
    <xf numFmtId="0" fontId="2" fillId="53" borderId="1" xfId="0" applyFont="1" applyFill="1" applyBorder="1" applyAlignment="1">
      <alignment horizontal="left" vertical="top" wrapText="1"/>
    </xf>
    <xf numFmtId="0" fontId="1" fillId="14" borderId="1" xfId="0" applyFont="1" applyFill="1" applyBorder="1" applyAlignment="1">
      <alignment horizontal="left" vertical="top" wrapText="1"/>
    </xf>
    <xf numFmtId="0" fontId="2" fillId="15" borderId="1" xfId="0" applyFont="1" applyFill="1" applyBorder="1"/>
    <xf numFmtId="0" fontId="0" fillId="51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>
      <alignment horizontal="left" vertical="top" wrapText="1"/>
    </xf>
    <xf numFmtId="0" fontId="0" fillId="55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 applyProtection="1">
      <alignment horizontal="left" vertical="top" wrapText="1"/>
      <protection hidden="1"/>
    </xf>
    <xf numFmtId="49" fontId="0" fillId="52" borderId="1" xfId="0" applyNumberFormat="1" applyFill="1" applyBorder="1" applyAlignment="1" applyProtection="1">
      <alignment horizontal="left" vertical="top" wrapText="1"/>
      <protection hidden="1"/>
    </xf>
    <xf numFmtId="49" fontId="0" fillId="2" borderId="1" xfId="0" applyNumberFormat="1" applyFill="1" applyBorder="1" applyAlignment="1">
      <alignment horizontal="left" vertical="top" wrapText="1"/>
    </xf>
    <xf numFmtId="49" fontId="0" fillId="52" borderId="1" xfId="0" applyNumberFormat="1" applyFill="1" applyBorder="1" applyAlignment="1">
      <alignment horizontal="left" vertical="top" wrapText="1"/>
    </xf>
    <xf numFmtId="49" fontId="0" fillId="54" borderId="1" xfId="0" applyNumberFormat="1" applyFill="1" applyBorder="1" applyAlignment="1">
      <alignment horizontal="left" vertical="top" wrapText="1"/>
    </xf>
    <xf numFmtId="0" fontId="0" fillId="47" borderId="1" xfId="0" applyFill="1" applyBorder="1" applyAlignment="1">
      <alignment horizontal="left" vertical="top"/>
    </xf>
    <xf numFmtId="0" fontId="0" fillId="47" borderId="1" xfId="0" applyFill="1" applyBorder="1" applyAlignment="1">
      <alignment horizontal="left" vertical="top" wrapText="1"/>
    </xf>
    <xf numFmtId="0" fontId="0" fillId="52" borderId="1" xfId="0" applyFill="1" applyBorder="1" applyAlignment="1">
      <alignment horizontal="left" vertical="top" wrapText="1"/>
    </xf>
    <xf numFmtId="0" fontId="0" fillId="51" borderId="1" xfId="0" applyFill="1" applyBorder="1" applyAlignment="1">
      <alignment wrapText="1"/>
    </xf>
    <xf numFmtId="0" fontId="2" fillId="56" borderId="1" xfId="0" applyFont="1" applyFill="1" applyBorder="1" applyAlignment="1">
      <alignment horizontal="left" vertical="top"/>
    </xf>
    <xf numFmtId="0" fontId="0" fillId="57" borderId="1" xfId="0" applyFill="1" applyBorder="1"/>
    <xf numFmtId="0" fontId="2" fillId="57" borderId="1" xfId="0" applyFont="1" applyFill="1" applyBorder="1" applyAlignment="1">
      <alignment horizontal="left" vertical="top" wrapText="1"/>
    </xf>
    <xf numFmtId="0" fontId="2" fillId="58" borderId="1" xfId="0" applyFont="1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 wrapText="1"/>
    </xf>
    <xf numFmtId="0" fontId="0" fillId="57" borderId="12" xfId="0" applyFill="1" applyBorder="1" applyAlignment="1">
      <alignment horizontal="left" vertical="top" wrapText="1"/>
    </xf>
    <xf numFmtId="0" fontId="0" fillId="59" borderId="14" xfId="0" applyFill="1" applyBorder="1" applyAlignment="1">
      <alignment horizontal="left" vertical="top" wrapText="1"/>
    </xf>
    <xf numFmtId="0" fontId="0" fillId="59" borderId="1" xfId="0" applyFill="1" applyBorder="1" applyAlignment="1">
      <alignment horizontal="left" vertical="top" wrapText="1"/>
    </xf>
    <xf numFmtId="49" fontId="13" fillId="59" borderId="14" xfId="4" applyNumberFormat="1" applyFont="1" applyFill="1" applyBorder="1" applyAlignment="1">
      <alignment horizontal="left" vertical="top" wrapText="1"/>
    </xf>
    <xf numFmtId="49" fontId="13" fillId="59" borderId="15" xfId="4" applyNumberFormat="1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8" borderId="1" xfId="0" applyFill="1" applyBorder="1"/>
    <xf numFmtId="49" fontId="23" fillId="60" borderId="1" xfId="0" applyNumberFormat="1" applyFont="1" applyFill="1" applyBorder="1" applyAlignment="1">
      <alignment horizontal="left" vertical="top" wrapText="1"/>
    </xf>
    <xf numFmtId="0" fontId="23" fillId="60" borderId="1" xfId="0" applyFont="1" applyFill="1" applyBorder="1" applyAlignment="1">
      <alignment horizontal="left" vertical="top" wrapText="1"/>
    </xf>
    <xf numFmtId="49" fontId="0" fillId="59" borderId="1" xfId="0" applyNumberFormat="1" applyFill="1" applyBorder="1" applyAlignment="1">
      <alignment horizontal="left" vertical="top" wrapText="1"/>
    </xf>
    <xf numFmtId="0" fontId="0" fillId="59" borderId="13" xfId="0" applyFill="1" applyBorder="1" applyAlignment="1">
      <alignment horizontal="left" vertical="top" wrapText="1"/>
    </xf>
    <xf numFmtId="0" fontId="2" fillId="61" borderId="1" xfId="0" applyFont="1" applyFill="1" applyBorder="1" applyAlignment="1">
      <alignment horizontal="left" vertical="top" wrapText="1"/>
    </xf>
    <xf numFmtId="0" fontId="0" fillId="62" borderId="3" xfId="0" applyFill="1" applyBorder="1" applyAlignment="1">
      <alignment horizontal="left" vertical="top" wrapText="1"/>
    </xf>
    <xf numFmtId="0" fontId="29" fillId="15" borderId="1" xfId="0" quotePrefix="1" applyFont="1" applyFill="1" applyBorder="1"/>
    <xf numFmtId="0" fontId="30" fillId="63" borderId="1" xfId="0" applyFont="1" applyFill="1" applyBorder="1" applyAlignment="1">
      <alignment horizontal="left" vertical="top" wrapText="1"/>
    </xf>
    <xf numFmtId="0" fontId="30" fillId="64" borderId="1" xfId="0" applyFont="1" applyFill="1" applyBorder="1" applyAlignment="1">
      <alignment horizontal="left" vertical="top" wrapText="1"/>
    </xf>
    <xf numFmtId="0" fontId="30" fillId="65" borderId="1" xfId="0" applyFont="1" applyFill="1" applyBorder="1" applyAlignment="1">
      <alignment horizontal="left" vertical="top" wrapText="1"/>
    </xf>
    <xf numFmtId="0" fontId="30" fillId="66" borderId="1" xfId="0" applyFont="1" applyFill="1" applyBorder="1" applyAlignment="1">
      <alignment horizontal="left" vertical="top" wrapText="1"/>
    </xf>
    <xf numFmtId="0" fontId="2" fillId="67" borderId="1" xfId="0" applyFont="1" applyFill="1" applyBorder="1" applyAlignment="1">
      <alignment horizontal="left" vertical="top" wrapText="1"/>
    </xf>
    <xf numFmtId="0" fontId="2" fillId="68" borderId="1" xfId="0" applyFont="1" applyFill="1" applyBorder="1"/>
    <xf numFmtId="0" fontId="2" fillId="69" borderId="1" xfId="0" applyFont="1" applyFill="1" applyBorder="1"/>
    <xf numFmtId="0" fontId="2" fillId="70" borderId="1" xfId="0" applyFont="1" applyFill="1" applyBorder="1"/>
    <xf numFmtId="0" fontId="2" fillId="71" borderId="1" xfId="0" applyFont="1" applyFill="1" applyBorder="1"/>
    <xf numFmtId="0" fontId="2" fillId="72" borderId="1" xfId="0" applyFont="1" applyFill="1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left" vertical="top" wrapText="1"/>
    </xf>
    <xf numFmtId="0" fontId="0" fillId="73" borderId="1" xfId="0" applyFill="1" applyBorder="1"/>
    <xf numFmtId="0" fontId="0" fillId="73" borderId="12" xfId="0" applyFill="1" applyBorder="1"/>
    <xf numFmtId="0" fontId="0" fillId="60" borderId="1" xfId="0" applyFill="1" applyBorder="1" applyAlignment="1">
      <alignment horizontal="left" vertical="top" wrapText="1"/>
    </xf>
    <xf numFmtId="0" fontId="0" fillId="60" borderId="1" xfId="0" applyFill="1" applyBorder="1"/>
    <xf numFmtId="49" fontId="2" fillId="74" borderId="1" xfId="0" applyNumberFormat="1" applyFont="1" applyFill="1" applyBorder="1" applyAlignment="1">
      <alignment horizontal="left" vertical="top" wrapText="1"/>
    </xf>
    <xf numFmtId="49" fontId="2" fillId="75" borderId="1" xfId="0" applyNumberFormat="1" applyFont="1" applyFill="1" applyBorder="1" applyAlignment="1">
      <alignment horizontal="left" vertical="top" wrapText="1"/>
    </xf>
    <xf numFmtId="0" fontId="32" fillId="0" borderId="1" xfId="3" applyFont="1" applyBorder="1" applyAlignment="1">
      <alignment horizontal="left" vertical="top" wrapText="1"/>
    </xf>
  </cellXfs>
  <cellStyles count="121">
    <cellStyle name="20% - Accent1" xfId="21" builtinId="30" customBuiltin="1"/>
    <cellStyle name="20% - Accent2" xfId="24" builtinId="34" customBuiltin="1"/>
    <cellStyle name="20% - Accent3" xfId="27" builtinId="38" customBuiltin="1"/>
    <cellStyle name="20% - Accent4" xfId="30" builtinId="42" customBuiltin="1"/>
    <cellStyle name="20% - Accent5" xfId="33" builtinId="46" customBuiltin="1"/>
    <cellStyle name="20% - Accent6" xfId="36" builtinId="50" customBuiltin="1"/>
    <cellStyle name="40% - Accent1" xfId="22" builtinId="31" customBuiltin="1"/>
    <cellStyle name="40% - Accent2" xfId="25" builtinId="35" customBuiltin="1"/>
    <cellStyle name="40% - Accent3" xfId="28" builtinId="39" customBuiltin="1"/>
    <cellStyle name="40% - Accent4" xfId="31" builtinId="43" customBuiltin="1"/>
    <cellStyle name="40% - Accent5" xfId="34" builtinId="47" customBuiltin="1"/>
    <cellStyle name="40% - Accent6" xfId="37" builtinId="51" customBuiltin="1"/>
    <cellStyle name="60% - Accent1 2" xfId="40" xr:uid="{9F725953-8100-4515-818C-0022109F6F9E}"/>
    <cellStyle name="60% - Accent2 2" xfId="41" xr:uid="{EDEE2256-5218-4A14-8594-247EF61619A5}"/>
    <cellStyle name="60% - Accent3 2" xfId="42" xr:uid="{FD1AE9DE-48BA-4F5F-8AD4-15232E4C95B5}"/>
    <cellStyle name="60% - Accent4 2" xfId="43" xr:uid="{B9A67576-C724-495B-81D6-D2B0081DA7BC}"/>
    <cellStyle name="60% - Accent5 2" xfId="44" xr:uid="{B5FC0CFD-07D4-4B1E-ABDE-36F93495FF54}"/>
    <cellStyle name="60% - Accent6 2" xfId="45" xr:uid="{2CAADBE1-9273-4DE4-B90E-8E80A0E51B7D}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2" builtinId="45" customBuiltin="1"/>
    <cellStyle name="Accent6" xfId="35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 2" xfId="53" xr:uid="{8A70D11C-E5A2-4DE0-B631-66114C39119D}"/>
    <cellStyle name="Comma 2 2" xfId="54" xr:uid="{3E8C917E-D887-4550-9AB7-B771CA3F21E3}"/>
    <cellStyle name="Comma 2 2 2" xfId="56" xr:uid="{7924CF80-F567-48A1-B6AE-D00E5535F2BF}"/>
    <cellStyle name="Comma 2 2 2 2" xfId="60" xr:uid="{C011F79B-94B8-4D9E-B558-C1F041A060EC}"/>
    <cellStyle name="Comma 2 2 2 2 2" xfId="68" xr:uid="{31AE8DB3-9A0A-47E2-8615-B979BF621DAF}"/>
    <cellStyle name="Comma 2 2 2 2 2 2" xfId="85" xr:uid="{D5B05AAC-980E-4600-9333-B8426414319B}"/>
    <cellStyle name="Comma 2 2 2 2 2 2 2" xfId="117" xr:uid="{436EB172-8F24-467F-AA72-58D97DD2F641}"/>
    <cellStyle name="Comma 2 2 2 2 2 3" xfId="101" xr:uid="{471CEB7A-0F01-43D6-BF0B-4615A3F8D454}"/>
    <cellStyle name="Comma 2 2 2 2 3" xfId="77" xr:uid="{EFDBFC1C-ADBA-43AC-BCA0-D985B0D7CAB1}"/>
    <cellStyle name="Comma 2 2 2 2 3 2" xfId="109" xr:uid="{AA656D40-0A84-4B35-90F3-1F0F1CA4A6D8}"/>
    <cellStyle name="Comma 2 2 2 2 4" xfId="93" xr:uid="{B279A0AC-12F2-43D2-9B39-A2F8FC6AEE24}"/>
    <cellStyle name="Comma 2 2 2 3" xfId="64" xr:uid="{F3B9F239-520E-4B57-AC58-E44D82840A7A}"/>
    <cellStyle name="Comma 2 2 2 3 2" xfId="81" xr:uid="{E0D70129-5A98-4A5B-90B3-203EF5F1AE3A}"/>
    <cellStyle name="Comma 2 2 2 3 2 2" xfId="113" xr:uid="{87554766-8492-4F32-B548-59F86AC77B2C}"/>
    <cellStyle name="Comma 2 2 2 3 3" xfId="97" xr:uid="{5874105B-0A26-4455-9700-11F0E67EE575}"/>
    <cellStyle name="Comma 2 2 2 4" xfId="73" xr:uid="{DFBC43BE-E118-4A0A-A2D9-A277E94D8E8F}"/>
    <cellStyle name="Comma 2 2 2 4 2" xfId="105" xr:uid="{7C02B740-0A63-4D9C-9253-30A35C306C5B}"/>
    <cellStyle name="Comma 2 2 2 5" xfId="89" xr:uid="{A3B0562C-22EB-494E-8078-A227434540C7}"/>
    <cellStyle name="Comma 2 2 3" xfId="58" xr:uid="{1C09CC0C-A3B5-4134-BE3E-56F0278F5ADA}"/>
    <cellStyle name="Comma 2 2 3 2" xfId="66" xr:uid="{1BF9FA84-4144-4795-A14C-A94B4A4B851B}"/>
    <cellStyle name="Comma 2 2 3 2 2" xfId="83" xr:uid="{095E7C13-BDB2-498F-9781-71AD8074FE7E}"/>
    <cellStyle name="Comma 2 2 3 2 2 2" xfId="115" xr:uid="{230A4AEF-D572-47C1-9244-95DFD42A095E}"/>
    <cellStyle name="Comma 2 2 3 2 3" xfId="99" xr:uid="{1C30CAEF-0A2E-4E83-A64B-B6EA192E993B}"/>
    <cellStyle name="Comma 2 2 3 3" xfId="75" xr:uid="{1CD16186-CE71-46E4-9C3F-357DDA48ADE5}"/>
    <cellStyle name="Comma 2 2 3 3 2" xfId="107" xr:uid="{87CDB949-800B-4462-BFF9-B121252B8A45}"/>
    <cellStyle name="Comma 2 2 3 4" xfId="91" xr:uid="{B1AF4BDB-C76F-4697-AEB6-D0F575363A1E}"/>
    <cellStyle name="Comma 2 2 4" xfId="62" xr:uid="{0F870915-CFB0-4A74-A1E6-D0CE274273B8}"/>
    <cellStyle name="Comma 2 2 4 2" xfId="79" xr:uid="{CF18667B-793F-4E08-85FF-00A03D9C2A87}"/>
    <cellStyle name="Comma 2 2 4 2 2" xfId="111" xr:uid="{684D734B-24E1-47AC-891F-196EEA49FCF6}"/>
    <cellStyle name="Comma 2 2 4 3" xfId="95" xr:uid="{C68CAB98-264A-479B-8B69-7DD7340B44D7}"/>
    <cellStyle name="Comma 2 2 5" xfId="71" xr:uid="{32AADE88-8764-4090-BD6B-02688EA02E32}"/>
    <cellStyle name="Comma 2 2 5 2" xfId="103" xr:uid="{352ADAC1-A69F-4A98-89A9-A41A8DE15D68}"/>
    <cellStyle name="Comma 2 2 6" xfId="87" xr:uid="{E30998BC-318D-4079-9E6F-41EE5D307E21}"/>
    <cellStyle name="Comma 2 2 7" xfId="120" xr:uid="{C0FBCB4F-6454-4ED5-A0D3-37DDFBA11DD6}"/>
    <cellStyle name="Comma 2 3" xfId="55" xr:uid="{72CD6972-7B08-430E-9CF0-E4A56E347B10}"/>
    <cellStyle name="Comma 2 3 2" xfId="59" xr:uid="{39593F3D-98A1-4CAB-A31E-97EA673297C6}"/>
    <cellStyle name="Comma 2 3 2 2" xfId="67" xr:uid="{43225E4D-B17C-45B2-8354-C3D570E393EF}"/>
    <cellStyle name="Comma 2 3 2 2 2" xfId="84" xr:uid="{7520A77B-6D13-4EC0-924B-406783536B69}"/>
    <cellStyle name="Comma 2 3 2 2 2 2" xfId="116" xr:uid="{EB5227BB-9D9B-48A5-BAE7-E4F245BF9D15}"/>
    <cellStyle name="Comma 2 3 2 2 3" xfId="100" xr:uid="{ABC72ED8-C65F-4507-9829-4DC5654F1BEC}"/>
    <cellStyle name="Comma 2 3 2 3" xfId="76" xr:uid="{4210EF1C-FFAA-495D-AE0F-0BBCAA9C799D}"/>
    <cellStyle name="Comma 2 3 2 3 2" xfId="108" xr:uid="{954B715B-D15B-4AF9-8E12-78AFEE0953DD}"/>
    <cellStyle name="Comma 2 3 2 4" xfId="92" xr:uid="{DE317AB6-0608-4E64-B5DF-3020DA864D23}"/>
    <cellStyle name="Comma 2 3 3" xfId="63" xr:uid="{597D2302-4E31-40E7-B1E8-0CD5E5DB98A0}"/>
    <cellStyle name="Comma 2 3 3 2" xfId="80" xr:uid="{A744790B-1E20-4889-90A8-AE99498B2562}"/>
    <cellStyle name="Comma 2 3 3 2 2" xfId="112" xr:uid="{C3502978-02AB-4A09-9F7C-62A8A16B7601}"/>
    <cellStyle name="Comma 2 3 3 3" xfId="96" xr:uid="{377453C0-452A-4646-AAAD-7DFDC6B95B78}"/>
    <cellStyle name="Comma 2 3 4" xfId="72" xr:uid="{7BA15033-E9FE-4EC4-BEC9-D03AD1863BBC}"/>
    <cellStyle name="Comma 2 3 4 2" xfId="104" xr:uid="{D02E8BA3-CAE7-49F5-9D15-0851B920CDF6}"/>
    <cellStyle name="Comma 2 3 5" xfId="88" xr:uid="{77B67A1A-4C9B-403A-87D3-0B0644DC89B8}"/>
    <cellStyle name="Comma 2 4" xfId="57" xr:uid="{9DAA3E81-4BEE-41BF-A90A-199AEA72D1A7}"/>
    <cellStyle name="Comma 2 4 2" xfId="65" xr:uid="{535ABADC-326B-4464-A258-1C77FC6E62C1}"/>
    <cellStyle name="Comma 2 4 2 2" xfId="82" xr:uid="{78285FAA-0FEF-4D25-B429-DD51405050F1}"/>
    <cellStyle name="Comma 2 4 2 2 2" xfId="114" xr:uid="{1628EFE4-0390-4955-86A6-F2F97EECB74A}"/>
    <cellStyle name="Comma 2 4 2 3" xfId="98" xr:uid="{A244F935-78AE-4D08-914A-990B4EFD2A4F}"/>
    <cellStyle name="Comma 2 4 3" xfId="74" xr:uid="{1E1AF5BB-E27B-4240-8666-7D4E60B5C9B4}"/>
    <cellStyle name="Comma 2 4 3 2" xfId="106" xr:uid="{1F05B8E8-B721-4F85-9C18-1C6E87481A12}"/>
    <cellStyle name="Comma 2 4 4" xfId="90" xr:uid="{7CC22E9C-F7DA-4B7D-B982-B400093C1899}"/>
    <cellStyle name="Comma 2 5" xfId="61" xr:uid="{05CBBE5A-9237-4A72-82EF-450F9E648170}"/>
    <cellStyle name="Comma 2 5 2" xfId="78" xr:uid="{9FACF420-AECD-4638-8A42-28565398344C}"/>
    <cellStyle name="Comma 2 5 2 2" xfId="110" xr:uid="{8205BFAF-CAB5-4979-8C59-8296481009DC}"/>
    <cellStyle name="Comma 2 5 3" xfId="94" xr:uid="{BE6B6244-426E-4937-8435-1B535995D9F8}"/>
    <cellStyle name="Comma 2 6" xfId="70" xr:uid="{58658FD8-FCDE-4BD9-A4D4-63E0DB2E3306}"/>
    <cellStyle name="Comma 2 6 2" xfId="102" xr:uid="{FB517092-F35A-48B5-9E11-D7AD79488653}"/>
    <cellStyle name="Comma 2 7" xfId="86" xr:uid="{81349798-6F01-4ACA-86BF-3E3AEED3BEFD}"/>
    <cellStyle name="Explanatory Text" xfId="18" builtinId="53" customBuiltin="1"/>
    <cellStyle name="Good" xfId="9" builtinId="26" customBuiltin="1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39" xr:uid="{7848C25C-A158-4D2E-893A-E351E61470D5}"/>
    <cellStyle name="Normal" xfId="0" builtinId="0"/>
    <cellStyle name="Normal 2" xfId="46" xr:uid="{EE03EA1A-E6B2-49AB-A453-C1C4291A5559}"/>
    <cellStyle name="Normal 2 2" xfId="119" xr:uid="{6D52CAA0-EC91-4E13-B1FB-B495FF17CF13}"/>
    <cellStyle name="Normal 2 2 2" xfId="5" xr:uid="{7B13E1BF-472E-49CF-87E0-02D32C61CB0A}"/>
    <cellStyle name="Normal 2 3" xfId="48" xr:uid="{224ED6D8-F947-48DB-8CC4-1FA12BFE4383}"/>
    <cellStyle name="Normal 3" xfId="49" xr:uid="{73029E7C-BFE0-4D06-A548-74D9FD65F919}"/>
    <cellStyle name="Normal 4" xfId="47" xr:uid="{E040A120-E6EA-4B68-87EF-6034A871E676}"/>
    <cellStyle name="Normal 4 2" xfId="50" xr:uid="{5C980DB5-EFE0-4E14-B672-F1C2CE69C038}"/>
    <cellStyle name="Normal 4_Main" xfId="52" xr:uid="{85BA4809-CC5D-4A67-872B-8DF120ED023D}"/>
    <cellStyle name="Normal 5" xfId="51" xr:uid="{B709083A-94FE-4E09-BE70-04D94C465222}"/>
    <cellStyle name="Normal 6" xfId="4" xr:uid="{5132BBB8-8B42-4E7A-8A0B-0046B31D68F7}"/>
    <cellStyle name="Normal 7" xfId="69" xr:uid="{0A40ACE5-FEB7-4021-BC7B-EE989E11AB31}"/>
    <cellStyle name="Normal_19980525 (3)" xfId="1" xr:uid="{B12CB845-A612-48B2-A307-562138E94B68}"/>
    <cellStyle name="Note" xfId="17" builtinId="10" customBuiltin="1"/>
    <cellStyle name="Output" xfId="12" builtinId="21" customBuiltin="1"/>
    <cellStyle name="Percent 2" xfId="118" xr:uid="{37245A3D-3B1E-450F-9E17-D48EA04518D5}"/>
    <cellStyle name="Title 2" xfId="38" xr:uid="{1C789FEB-B3F5-42F1-9777-008EA3D7F846}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</xdr:rowOff>
        </xdr:from>
        <xdr:to>
          <xdr:col>3</xdr:col>
          <xdr:colOff>2676525</xdr:colOff>
          <xdr:row>0</xdr:row>
          <xdr:rowOff>457200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85725</xdr:rowOff>
        </xdr:from>
        <xdr:to>
          <xdr:col>4</xdr:col>
          <xdr:colOff>2857500</xdr:colOff>
          <xdr:row>0</xdr:row>
          <xdr:rowOff>1000125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ohnholland-my.sharepoint.com/personal/ncosta_jhg_com_au/Documents/Desktop/wip%20plr%20next++/Next++%20plr.xlsm" TargetMode="External"/><Relationship Id="rId1" Type="http://schemas.openxmlformats.org/officeDocument/2006/relationships/externalLinkPath" Target="/personal/ncosta_jhg_com_au/Documents/Desktop/wip%20plr%20next++/Next++%20pl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ohnholland-my.sharepoint.com/personal/ncosta_jhg_com_au/Documents/Desktop/sdfg.xlsm" TargetMode="External"/><Relationship Id="rId1" Type="http://schemas.openxmlformats.org/officeDocument/2006/relationships/externalLinkPath" Target="/personal/ncosta_jhg_com_au/Documents/Desktop/wip%20plr%20next++/sdf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Projects"/>
      <sheetName val="Artefact Types"/>
      <sheetName val="Views"/>
      <sheetName val="Baselines"/>
      <sheetName val="System Data"/>
      <sheetName val="Lookups"/>
    </sheetNames>
    <sheetDataSet>
      <sheetData sheetId="0"/>
      <sheetData sheetId="1"/>
      <sheetData sheetId="2"/>
      <sheetData sheetId="3">
        <row r="1">
          <cell r="E1" t="str">
            <v>x</v>
          </cell>
          <cell r="F1" t="str">
            <v>File Base</v>
          </cell>
        </row>
        <row r="2">
          <cell r="E2" t="str">
            <v>SMW-LWRATMTender Requirements View</v>
          </cell>
          <cell r="F2" t="str">
            <v>RATM_tender-export</v>
          </cell>
        </row>
        <row r="3">
          <cell r="E3" t="str">
            <v>SMW-LWRATMGeneral Requirements View</v>
          </cell>
          <cell r="F3" t="str">
            <v>RATM-export</v>
          </cell>
        </row>
        <row r="4">
          <cell r="E4" t="str">
            <v>A2PRequirement SpecificationGeneral Requirements View</v>
          </cell>
          <cell r="F4" t="str">
            <v>ratm-export</v>
          </cell>
        </row>
        <row r="5">
          <cell r="E5" t="str">
            <v>B2ARATMGeneral Requirements View</v>
          </cell>
          <cell r="F5" t="str">
            <v>General Requirements View</v>
          </cell>
        </row>
        <row r="6">
          <cell r="E6" t="str">
            <v>B2ARVTM01 Verification-Design</v>
          </cell>
          <cell r="F6" t="str">
            <v>01 Verification-Design</v>
          </cell>
        </row>
        <row r="7">
          <cell r="E7" t="str">
            <v>B2AHF Issues RegisterHF Issues</v>
          </cell>
          <cell r="F7" t="str">
            <v>HF Issues</v>
          </cell>
        </row>
        <row r="8">
          <cell r="E8" t="str">
            <v>B2A&lt;&lt;RVTM&gt;&gt;n/a</v>
          </cell>
          <cell r="F8" t="str">
            <v>module-list</v>
          </cell>
        </row>
        <row r="9">
          <cell r="E9" t="str">
            <v>B2A-IRPLSRAATMGeneral Requirements View</v>
          </cell>
          <cell r="F9" t="str">
            <v>General Requirements View</v>
          </cell>
        </row>
        <row r="10">
          <cell r="E10" t="str">
            <v>B2A-IRPLSVCRM01 Verification-Design</v>
          </cell>
          <cell r="F10" t="str">
            <v>01 Verification-Design</v>
          </cell>
        </row>
        <row r="11">
          <cell r="E11" t="str">
            <v>B2A-IRPLSRAATMSSRS Export</v>
          </cell>
          <cell r="F11" t="str">
            <v>SSRS Export</v>
          </cell>
        </row>
        <row r="12">
          <cell r="E12" t="str">
            <v>B2A-IRPLSVCRMVerification</v>
          </cell>
          <cell r="F12" t="str">
            <v>Verification</v>
          </cell>
        </row>
        <row r="13">
          <cell r="E13" t="str">
            <v>B2A-IRPLSRequirements SpecificationExport PSR</v>
          </cell>
          <cell r="F13" t="str">
            <v>Export PSR</v>
          </cell>
        </row>
        <row r="14">
          <cell r="E14" t="str">
            <v>B2A-IRPLRequirements SpecificationExport PSR</v>
          </cell>
          <cell r="F14" t="str">
            <v>Export PSR</v>
          </cell>
        </row>
        <row r="15">
          <cell r="E15" t="str">
            <v>B2N&lt;&lt;RVTM&gt;&gt;n/a</v>
          </cell>
          <cell r="F15" t="str">
            <v>module-list</v>
          </cell>
        </row>
        <row r="16">
          <cell r="E16" t="str">
            <v>B2NDocument RegisterDocument Register</v>
          </cell>
          <cell r="F16" t="str">
            <v>document-register-export</v>
          </cell>
        </row>
        <row r="17">
          <cell r="E17" t="str">
            <v>B2NnoneAll Requirement Clause Artefacts</v>
          </cell>
          <cell r="F17" t="str">
            <v>All Requirement Clause Artefacts</v>
          </cell>
        </row>
        <row r="18">
          <cell r="E18" t="str">
            <v>B2NnoneRequirement Allocation _TOBEDELETED</v>
          </cell>
          <cell r="F18" t="str">
            <v>Requirement Allocation _TOBEDELETED</v>
          </cell>
        </row>
        <row r="19">
          <cell r="E19" t="str">
            <v>B2NnoneAll Modules</v>
          </cell>
          <cell r="F19" t="str">
            <v>All Modules</v>
          </cell>
        </row>
        <row r="20">
          <cell r="E20" t="str">
            <v>B2NRATMGeneral Requirements View</v>
          </cell>
          <cell r="F20" t="str">
            <v>ratm-export</v>
          </cell>
        </row>
        <row r="21">
          <cell r="E21" t="str">
            <v>B2NRATMIds Only</v>
          </cell>
          <cell r="F21" t="str">
            <v>Ids Only</v>
          </cell>
        </row>
        <row r="22">
          <cell r="E22" t="str">
            <v>B2NRVTM01 Verification-Design</v>
          </cell>
          <cell r="F22" t="str">
            <v>rvtm-des-export</v>
          </cell>
        </row>
        <row r="23">
          <cell r="E23" t="str">
            <v>B2NRVTM04 Verification and Validation</v>
          </cell>
          <cell r="F23" t="str">
            <v>rvtm-export</v>
          </cell>
        </row>
        <row r="24">
          <cell r="E24" t="str">
            <v>B2NPlan RVTMPlan RVTM View</v>
          </cell>
          <cell r="F24" t="str">
            <v>Plan RVTM View</v>
          </cell>
        </row>
        <row r="25">
          <cell r="E25" t="str">
            <v>B2NHF Issues RegisterHF Issues</v>
          </cell>
          <cell r="F25" t="str">
            <v>HF Issues</v>
          </cell>
        </row>
        <row r="26">
          <cell r="E26" t="str">
            <v>BDPRATMGeneral Requirements View</v>
          </cell>
          <cell r="F26" t="str">
            <v>General Requirements View</v>
          </cell>
        </row>
        <row r="27">
          <cell r="E27" t="str">
            <v>CLRS2AnoneAll Modules</v>
          </cell>
          <cell r="F27" t="str">
            <v>All Modules</v>
          </cell>
        </row>
        <row r="28">
          <cell r="E28" t="str">
            <v>CLRS2ARequirement SpecificationGeneral Requirements View</v>
          </cell>
          <cell r="F28" t="str">
            <v>ratm-export</v>
          </cell>
        </row>
        <row r="29">
          <cell r="E29" t="str">
            <v>CLRS2ARequirement SpecificationIds Only</v>
          </cell>
          <cell r="F29" t="str">
            <v>Ids Only</v>
          </cell>
        </row>
        <row r="30">
          <cell r="E30" t="str">
            <v>CWO-REZRATMGeneral Requirements View</v>
          </cell>
          <cell r="F30" t="str">
            <v>ratm-export</v>
          </cell>
        </row>
        <row r="31">
          <cell r="E31" t="str">
            <v>GCLRS3Requirement SpecificationGeneral Requirements View</v>
          </cell>
          <cell r="F31" t="str">
            <v>ratm-export</v>
          </cell>
        </row>
        <row r="32">
          <cell r="E32" t="str">
            <v>GCLRS3Requirement SpecificationCompletion</v>
          </cell>
          <cell r="F32" t="str">
            <v>cpm-export</v>
          </cell>
        </row>
        <row r="33">
          <cell r="E33" t="str">
            <v>GCLRS3RVTM03 Verification and Validation</v>
          </cell>
          <cell r="F33" t="str">
            <v>rvtm-all-export</v>
          </cell>
        </row>
        <row r="34">
          <cell r="E34" t="str">
            <v>GCLRS3RVTM02 Verification-Production/Validation</v>
          </cell>
          <cell r="F34" t="str">
            <v>rvtm-prod-val-export</v>
          </cell>
        </row>
        <row r="35">
          <cell r="E35" t="str">
            <v>GCLRS3RVTM01 Verification-Design</v>
          </cell>
          <cell r="F35" t="str">
            <v>rvtm-des-export</v>
          </cell>
        </row>
        <row r="36">
          <cell r="E36" t="str">
            <v>GCLRS3Document RegisterDocument Register</v>
          </cell>
          <cell r="F36" t="str">
            <v>document-register-export</v>
          </cell>
        </row>
        <row r="37">
          <cell r="E37" t="str">
            <v>GCLRS3noneAll Modules</v>
          </cell>
          <cell r="F37" t="str">
            <v>All Modules</v>
          </cell>
        </row>
        <row r="38">
          <cell r="E38" t="str">
            <v>GCLRS3noneRVTM Status</v>
          </cell>
          <cell r="F38" t="str">
            <v>RVTM Status</v>
          </cell>
        </row>
        <row r="39">
          <cell r="E39" t="str">
            <v>GCLRS3RVTM-ProcessVerification-Process</v>
          </cell>
          <cell r="F39" t="str">
            <v>rvtm-process-export</v>
          </cell>
        </row>
        <row r="40">
          <cell r="E40" t="str">
            <v>GCLRS3&lt;&lt;RVTM&gt;&gt;n/a</v>
          </cell>
          <cell r="F40" t="str">
            <v>module-list</v>
          </cell>
        </row>
        <row r="41">
          <cell r="E41" t="str">
            <v>GCLRS3Hazards RegisterHazards Register</v>
          </cell>
          <cell r="F41" t="str">
            <v>hazards-export</v>
          </cell>
        </row>
        <row r="42">
          <cell r="E42" t="str">
            <v>GCLRS3Causes RegisterCauses Register</v>
          </cell>
          <cell r="F42" t="str">
            <v>causes-export</v>
          </cell>
        </row>
        <row r="43">
          <cell r="E43" t="str">
            <v>GCLRS3Controls RegisterControls Register</v>
          </cell>
          <cell r="F43" t="str">
            <v>controls-export</v>
          </cell>
        </row>
        <row r="44">
          <cell r="E44" t="str">
            <v>GCLRS3TLE RegisterTLE</v>
          </cell>
          <cell r="F44" t="str">
            <v>tle-register-export</v>
          </cell>
        </row>
        <row r="45">
          <cell r="E45" t="str">
            <v>GCLRS3HF Issues RegisterHF Issues Register</v>
          </cell>
          <cell r="F45" t="str">
            <v>hf-issues-export</v>
          </cell>
        </row>
        <row r="46">
          <cell r="E46" t="str">
            <v>GCLRS3ADC RegisterADC Register</v>
          </cell>
          <cell r="F46" t="str">
            <v>adc-export</v>
          </cell>
        </row>
        <row r="47">
          <cell r="E47" t="str">
            <v>GCLRS3_C2&lt;&lt;RVTM&gt;&gt;n/a</v>
          </cell>
          <cell r="F47" t="str">
            <v>module-list</v>
          </cell>
        </row>
        <row r="48">
          <cell r="E48" t="str">
            <v>GCLRS3_C2Document RegisterDocument Register</v>
          </cell>
          <cell r="F48" t="str">
            <v>document-register-export</v>
          </cell>
        </row>
        <row r="49">
          <cell r="E49" t="str">
            <v>GCLRS3_C2Requirement SpecificationGeneral Requirements View</v>
          </cell>
          <cell r="F49" t="str">
            <v>ratm-export</v>
          </cell>
        </row>
        <row r="50">
          <cell r="E50" t="str">
            <v>GCLRS3_C2Requirement SpecificationCompletion</v>
          </cell>
          <cell r="F50" t="str">
            <v>catm-export</v>
          </cell>
        </row>
        <row r="51">
          <cell r="E51" t="str">
            <v>GCLRS3_C2RVTM01 Verification-Design</v>
          </cell>
          <cell r="F51" t="str">
            <v>rvtm-des-export</v>
          </cell>
        </row>
        <row r="52">
          <cell r="E52" t="str">
            <v>GCLRS3_C2RVTMCompletion</v>
          </cell>
          <cell r="F52" t="str">
            <v>cvtm-export</v>
          </cell>
        </row>
        <row r="53">
          <cell r="E53" t="str">
            <v>GCLRS3_C2RVTM04 Verification and Validation</v>
          </cell>
          <cell r="F53" t="str">
            <v>rvtm-export</v>
          </cell>
        </row>
        <row r="54">
          <cell r="E54" t="str">
            <v>GCLRS3_C3Requirement SpecificationGeneral Requirements View</v>
          </cell>
          <cell r="F54" t="str">
            <v>ratm-export</v>
          </cell>
        </row>
        <row r="55">
          <cell r="E55" t="str">
            <v>I2SRAATMGeneral Requirements View</v>
          </cell>
          <cell r="F55" t="str">
            <v>ratm-export</v>
          </cell>
        </row>
        <row r="56">
          <cell r="E56" t="str">
            <v>I2SRAATMRATM(Tender)</v>
          </cell>
          <cell r="F56" t="str">
            <v>ratm-export</v>
          </cell>
        </row>
        <row r="57">
          <cell r="E57" t="str">
            <v>I2SVCRM01 Verification-Design</v>
          </cell>
          <cell r="F57" t="str">
            <v>01 Verification-Design</v>
          </cell>
        </row>
        <row r="58">
          <cell r="E58" t="str">
            <v>I2SRVTM-ProcessVerification-Process</v>
          </cell>
          <cell r="F58" t="str">
            <v>Verification-Process</v>
          </cell>
        </row>
        <row r="59">
          <cell r="E59" t="str">
            <v>I2SVCRMUnallocated</v>
          </cell>
          <cell r="F59" t="str">
            <v>Unallocated</v>
          </cell>
        </row>
        <row r="60">
          <cell r="E60" t="str">
            <v>I2SVCRM_Link by Attribute</v>
          </cell>
          <cell r="F60" t="str">
            <v>_Link by Attribute</v>
          </cell>
        </row>
        <row r="61">
          <cell r="E61" t="str">
            <v>I2S-IRPLSRAATMGeneral Requirements View</v>
          </cell>
          <cell r="F61" t="str">
            <v>General Requirements View</v>
          </cell>
        </row>
        <row r="62">
          <cell r="E62" t="str">
            <v>I2S-IRPLSVCRM01 Verification-Design</v>
          </cell>
          <cell r="F62" t="str">
            <v>01 Verification-Design</v>
          </cell>
        </row>
        <row r="63">
          <cell r="E63" t="str">
            <v>I2S-IRPLSRequirements SpecificationRAATM</v>
          </cell>
          <cell r="F63" t="str">
            <v>RAATM-1</v>
          </cell>
        </row>
        <row r="64">
          <cell r="E64" t="str">
            <v>I2S-IRPLSRAATMRAATM</v>
          </cell>
          <cell r="F64" t="str">
            <v>RAATM-2</v>
          </cell>
        </row>
        <row r="65">
          <cell r="E65" t="str">
            <v>I2S-IRPLSVCRMVCRM</v>
          </cell>
          <cell r="F65" t="str">
            <v>VCRM</v>
          </cell>
        </row>
        <row r="66">
          <cell r="E66" t="str">
            <v>JH-REI-001RATMGeneral Requirements View</v>
          </cell>
          <cell r="F66" t="str">
            <v>ratm-export</v>
          </cell>
        </row>
        <row r="67">
          <cell r="E67" t="str">
            <v>LGCRATMRATM(Tender)</v>
          </cell>
          <cell r="F67" t="str">
            <v>ratm-tender-export</v>
          </cell>
        </row>
        <row r="68">
          <cell r="E68" t="str">
            <v>LGCRATMDepartures(Tender)</v>
          </cell>
          <cell r="F68" t="str">
            <v>departures-tender-export</v>
          </cell>
        </row>
        <row r="69">
          <cell r="E69" t="str">
            <v>LGCRATMGeneral Requirements View</v>
          </cell>
          <cell r="F69" t="str">
            <v>ratm-export</v>
          </cell>
        </row>
        <row r="70">
          <cell r="E70" t="str">
            <v>LGCRVTM01 Verification-Design</v>
          </cell>
          <cell r="F70" t="str">
            <v>rvtm-des-export</v>
          </cell>
        </row>
        <row r="71">
          <cell r="E71" t="str">
            <v>M7-M12Requirement SpecificationGeneral Requirements View</v>
          </cell>
          <cell r="F71" t="str">
            <v>ratm-export</v>
          </cell>
        </row>
        <row r="72">
          <cell r="E72" t="str">
            <v>M7-M12Requirement SpecificationJust Ids</v>
          </cell>
          <cell r="F72" t="str">
            <v>ratm-ids-export</v>
          </cell>
        </row>
        <row r="73">
          <cell r="E73" t="str">
            <v>MARRequirement SpecificationGeneral Requirements View</v>
          </cell>
          <cell r="F73" t="str">
            <v>ratm-export</v>
          </cell>
        </row>
        <row r="74">
          <cell r="E74" t="str">
            <v>MARRequirement SpecificationGeneral Requirements View-Changes</v>
          </cell>
          <cell r="F74" t="str">
            <v>ratm-export</v>
          </cell>
        </row>
        <row r="75">
          <cell r="E75" t="str">
            <v>MARRVTM01 Verification-Design</v>
          </cell>
          <cell r="F75" t="str">
            <v>rvtm-des-export</v>
          </cell>
        </row>
        <row r="76">
          <cell r="E76" t="str">
            <v>MARPSTR DocumentPSTR Document view</v>
          </cell>
          <cell r="F76" t="str">
            <v>PSTR</v>
          </cell>
        </row>
        <row r="77">
          <cell r="E77" t="str">
            <v>MARGeneral DocumentSSA Requirement</v>
          </cell>
          <cell r="F77" t="str">
            <v>General Document</v>
          </cell>
        </row>
        <row r="78">
          <cell r="E78" t="str">
            <v>MAR-SSAPSTR DocumentPSTR Document view</v>
          </cell>
          <cell r="F78" t="str">
            <v>PSTR</v>
          </cell>
        </row>
        <row r="79">
          <cell r="E79" t="str">
            <v>MAR-SSAGeneral DocumentSSA Requirement</v>
          </cell>
          <cell r="F79" t="str">
            <v>General Document</v>
          </cell>
        </row>
        <row r="80">
          <cell r="E80" t="str">
            <v>MTMS2NADC LogADC Log</v>
          </cell>
          <cell r="F80" t="str">
            <v>adc-export</v>
          </cell>
        </row>
        <row r="81">
          <cell r="E81" t="str">
            <v>MTMS2NCauses RegisterCauses Register</v>
          </cell>
          <cell r="F81" t="str">
            <v>causes-export</v>
          </cell>
        </row>
        <row r="82">
          <cell r="E82" t="str">
            <v>MTMS2NChange LogChange Journal</v>
          </cell>
          <cell r="F82" t="str">
            <v>change-log-export</v>
          </cell>
        </row>
        <row r="83">
          <cell r="E83" t="str">
            <v>MTMS2NControls RegisterControls Register</v>
          </cell>
          <cell r="F83" t="str">
            <v>controls-export</v>
          </cell>
        </row>
        <row r="84">
          <cell r="E84" t="str">
            <v>MTMS2NDocument RegisterWorklots</v>
          </cell>
          <cell r="F84" t="str">
            <v>worklots-export</v>
          </cell>
        </row>
        <row r="85">
          <cell r="E85" t="str">
            <v>MTMS2NDocument Register AconexAconex</v>
          </cell>
          <cell r="F85" t="str">
            <v>rfi-aconex-export</v>
          </cell>
        </row>
        <row r="86">
          <cell r="E86" t="str">
            <v>MTMS2NEngineering Assurance Register01 Verification-Design</v>
          </cell>
          <cell r="F86" t="str">
            <v>rvtm-des-export</v>
          </cell>
        </row>
        <row r="87">
          <cell r="E87" t="str">
            <v>MTMS2NEngineering Assurance Register02 Verification-Production</v>
          </cell>
          <cell r="F87" t="str">
            <v>rvtm-prod-export</v>
          </cell>
        </row>
        <row r="88">
          <cell r="E88" t="str">
            <v>MTMS2NEngineering Assurance Register03 Validation</v>
          </cell>
          <cell r="F88" t="str">
            <v>rvtm-val-export</v>
          </cell>
        </row>
        <row r="89">
          <cell r="E89" t="str">
            <v>MTMS2NHazards RegisterHazards Register</v>
          </cell>
          <cell r="F89" t="str">
            <v>hazards-export</v>
          </cell>
        </row>
        <row r="90">
          <cell r="E90" t="str">
            <v>MTMS2NHF Issues RegisterHF Issues Register</v>
          </cell>
          <cell r="F90" t="str">
            <v>hf-issues-export</v>
          </cell>
        </row>
        <row r="91">
          <cell r="E91" t="str">
            <v>MTMS2NPrincipal Design SRSSRS</v>
          </cell>
          <cell r="F91" t="str">
            <v>srs-export</v>
          </cell>
        </row>
        <row r="92">
          <cell r="E92" t="str">
            <v>MTMS2NRequirement SpecificationGeneral Requirements View</v>
          </cell>
          <cell r="F92" t="str">
            <v>ratm-export</v>
          </cell>
        </row>
        <row r="93">
          <cell r="E93" t="str">
            <v>MTMS3AADC LogADC</v>
          </cell>
          <cell r="F93" t="str">
            <v>adc-export</v>
          </cell>
        </row>
        <row r="94">
          <cell r="E94" t="str">
            <v>MTMS3ABRSBusiness Requirement Specification</v>
          </cell>
          <cell r="F94" t="str">
            <v>brs-export</v>
          </cell>
        </row>
        <row r="95">
          <cell r="E95" t="str">
            <v>MTMS3ACauses RegisterCauses</v>
          </cell>
          <cell r="F95" t="str">
            <v>causes-export</v>
          </cell>
        </row>
        <row r="96">
          <cell r="E96" t="str">
            <v>MTMS3AChange LogChange Journal</v>
          </cell>
          <cell r="F96" t="str">
            <v>change-log-export</v>
          </cell>
        </row>
        <row r="97">
          <cell r="E97" t="str">
            <v>MTMS3AControls RegisterControls</v>
          </cell>
          <cell r="F97" t="str">
            <v>controls-export</v>
          </cell>
        </row>
        <row r="98">
          <cell r="E98" t="str">
            <v>MTMS3AEngineering Assurance Register01 Verification-Design</v>
          </cell>
          <cell r="F98" t="str">
            <v>rvtm-export</v>
          </cell>
        </row>
        <row r="99">
          <cell r="E99" t="str">
            <v>MTMS3AHazards RegisterHazards Register</v>
          </cell>
          <cell r="F99" t="str">
            <v>hazards-export</v>
          </cell>
        </row>
        <row r="100">
          <cell r="E100" t="str">
            <v>MTMS3AHF Issues RegisterHF Issues Register</v>
          </cell>
          <cell r="F100" t="str">
            <v>hf-issues-export</v>
          </cell>
        </row>
        <row r="101">
          <cell r="E101" t="str">
            <v>MTMS3ARequirement SpecificationGeneral Requirements View</v>
          </cell>
          <cell r="F101" t="str">
            <v>ratm-export</v>
          </cell>
        </row>
        <row r="102">
          <cell r="E102" t="str">
            <v>MTMS3ARequirement SpecificationClassic Check</v>
          </cell>
          <cell r="F102" t="str">
            <v>classic-export</v>
          </cell>
        </row>
        <row r="103">
          <cell r="E103" t="str">
            <v>NELRequirement SpecificationGeneral Requirements View</v>
          </cell>
          <cell r="F103" t="str">
            <v>rvtm-des-export</v>
          </cell>
        </row>
        <row r="104">
          <cell r="E104" t="str">
            <v>PLR2RATMGeneral Requirements View</v>
          </cell>
          <cell r="F104" t="str">
            <v>ratm-export</v>
          </cell>
        </row>
        <row r="105">
          <cell r="E105" t="str">
            <v>PLR2RVTMVerification and Validation</v>
          </cell>
          <cell r="F105" t="str">
            <v>rvtm-export</v>
          </cell>
        </row>
        <row r="106">
          <cell r="E106" t="str">
            <v>PLR2Process RVTMProcess Verification</v>
          </cell>
          <cell r="F106" t="str">
            <v>rvtm-process-export</v>
          </cell>
        </row>
        <row r="107">
          <cell r="E107" t="str">
            <v>PLR2Controls RegisterControls Register</v>
          </cell>
          <cell r="F107" t="str">
            <v>control-register-export</v>
          </cell>
        </row>
        <row r="108">
          <cell r="E108" t="str">
            <v>PLR2ADC RegisterADC Register</v>
          </cell>
          <cell r="F108" t="str">
            <v>adc-register-export</v>
          </cell>
        </row>
        <row r="109">
          <cell r="E109" t="str">
            <v>PSTRnoneVCRM Project Requirements</v>
          </cell>
          <cell r="F109" t="str">
            <v>VCRM Project Requirements</v>
          </cell>
        </row>
        <row r="110">
          <cell r="E110" t="str">
            <v>PSTRnoneVCRM System Requirements</v>
          </cell>
          <cell r="F110" t="str">
            <v>VCRM System Requirements</v>
          </cell>
        </row>
        <row r="111">
          <cell r="E111" t="str">
            <v>PSTRPSTR DocumentPSTR Requirements Traceability View</v>
          </cell>
          <cell r="F111" t="str">
            <v>pstr-export</v>
          </cell>
        </row>
        <row r="112">
          <cell r="E112" t="str">
            <v>QTMPQTMP-ModuleVerification Actions View</v>
          </cell>
          <cell r="F112" t="str">
            <v>va-export</v>
          </cell>
        </row>
        <row r="113">
          <cell r="E113" t="str">
            <v>QTMPQTMP-ModuleMFG Faciltiy Spec TMB</v>
          </cell>
          <cell r="F113" t="str">
            <v>ss-export</v>
          </cell>
        </row>
        <row r="114">
          <cell r="E114" t="str">
            <v>RSAADD (Application Design Document)REI-SR</v>
          </cell>
          <cell r="F114" t="str">
            <v>VCRM System Requirements-ADD-REI-SR</v>
          </cell>
        </row>
        <row r="115">
          <cell r="E115" t="str">
            <v>RSAnoneREI-VCRM Project Requirements</v>
          </cell>
          <cell r="F115" t="str">
            <v>REI-VCRM Project Requirements</v>
          </cell>
        </row>
        <row r="116">
          <cell r="E116" t="str">
            <v>RSAnoneREI-VCRM System Requirements</v>
          </cell>
          <cell r="F116" t="str">
            <v>REI-VCRM System Requirements</v>
          </cell>
        </row>
        <row r="117">
          <cell r="E117" t="str">
            <v>RSAnoneREI-VCRM Project Requirements</v>
          </cell>
          <cell r="F117" t="str">
            <v>VCRM Project Requirements</v>
          </cell>
        </row>
        <row r="118">
          <cell r="E118" t="str">
            <v>RSAnoneREI-VCRM System Requirements</v>
          </cell>
          <cell r="F118" t="str">
            <v>VCRM System Requirements</v>
          </cell>
        </row>
        <row r="119">
          <cell r="E119" t="str">
            <v>RSAnoneREI-Validation Actions</v>
          </cell>
          <cell r="F119" t="str">
            <v>REI-Validation Actions</v>
          </cell>
        </row>
        <row r="120">
          <cell r="E120" t="str">
            <v>RSAPSTRREI-PSTR</v>
          </cell>
          <cell r="F120" t="str">
            <v>REI-PSTR</v>
          </cell>
        </row>
        <row r="121">
          <cell r="E121" t="str">
            <v>RSARSA Interface Control DocumentREI-SR</v>
          </cell>
          <cell r="F121" t="str">
            <v>VCRM Interface Requirements-ICD-REI-SR</v>
          </cell>
        </row>
        <row r="122">
          <cell r="E122" t="str">
            <v>RSARSA OCDREI-PR</v>
          </cell>
          <cell r="F122" t="str">
            <v>VCRM OCD-REI-PR</v>
          </cell>
        </row>
        <row r="123">
          <cell r="E123" t="str">
            <v>RSARSA Project Requirements DocumentREI-PR</v>
          </cell>
          <cell r="F123" t="str">
            <v>VCRM Project Requirements-PRD-REI-PR</v>
          </cell>
        </row>
        <row r="124">
          <cell r="E124" t="str">
            <v>RSARSA Requirements DocumentREI-PR</v>
          </cell>
          <cell r="F124" t="str">
            <v>VCRM Project Requirements-RD-REI-PR</v>
          </cell>
        </row>
        <row r="125">
          <cell r="E125" t="str">
            <v>RSARSA Requirements DocumentREI-SR</v>
          </cell>
          <cell r="F125" t="str">
            <v>VCRM System Requirements-RD-REI-SR</v>
          </cell>
        </row>
        <row r="126">
          <cell r="E126" t="str">
            <v>RSARSA System Requirements DocumentREI-SR</v>
          </cell>
          <cell r="F126" t="str">
            <v>VCRM System Requirements-SRD-REI-SR</v>
          </cell>
        </row>
        <row r="127">
          <cell r="E127" t="str">
            <v>RSASDD (System Design Document)REI-PR</v>
          </cell>
          <cell r="F127" t="str">
            <v>VCRM System Design Requirements-SDD-REI-PR</v>
          </cell>
        </row>
        <row r="128">
          <cell r="E128" t="str">
            <v>RSAValidation_Actionsn/a</v>
          </cell>
          <cell r="F128" t="str">
            <v>Validation_Actions</v>
          </cell>
        </row>
        <row r="129">
          <cell r="E129" t="str">
            <v>RSAVerification_Actionsn/a</v>
          </cell>
          <cell r="F129" t="str">
            <v>Verification_Actions</v>
          </cell>
        </row>
        <row r="130">
          <cell r="E130" t="str">
            <v>SHVNPHRequirement SpecificationGeneral Requirements View</v>
          </cell>
          <cell r="F130" t="str">
            <v>ratm-export</v>
          </cell>
        </row>
        <row r="131">
          <cell r="E131" t="str">
            <v>SRLGnone30 - All Contractor Requirement</v>
          </cell>
          <cell r="F131" t="str">
            <v>30 - All Contractor Requirement</v>
          </cell>
        </row>
        <row r="132">
          <cell r="E132" t="str">
            <v>SRLGRATMRATM(Tender)</v>
          </cell>
          <cell r="F132" t="str">
            <v>RATM(Tender)</v>
          </cell>
        </row>
        <row r="133">
          <cell r="E133" t="str">
            <v>T2DRATMGeneral Requirements View</v>
          </cell>
          <cell r="F133" t="str">
            <v>ratm-export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Projects"/>
      <sheetName val="Artefact Types"/>
      <sheetName val="Views"/>
      <sheetName val="Baselines"/>
      <sheetName val="System Data"/>
      <sheetName val="Lookups"/>
    </sheetNames>
    <sheetDataSet>
      <sheetData sheetId="0" refreshError="1"/>
      <sheetData sheetId="1" refreshError="1"/>
      <sheetData sheetId="2" refreshError="1"/>
      <sheetData sheetId="3" refreshError="1">
        <row r="1">
          <cell r="E1" t="str">
            <v>x</v>
          </cell>
          <cell r="F1" t="str">
            <v>File Base</v>
          </cell>
        </row>
        <row r="2">
          <cell r="E2" t="str">
            <v>SMW-LWRATMTender Requirements View</v>
          </cell>
          <cell r="F2" t="str">
            <v>RATM_tender-export</v>
          </cell>
        </row>
        <row r="3">
          <cell r="E3" t="str">
            <v>SMW-LWRATMGeneral Requirements View</v>
          </cell>
          <cell r="F3" t="str">
            <v>RATM-export</v>
          </cell>
        </row>
        <row r="4">
          <cell r="E4" t="str">
            <v>A2PRequirement SpecificationGeneral Requirements View</v>
          </cell>
          <cell r="F4" t="str">
            <v>ratm-export</v>
          </cell>
        </row>
        <row r="5">
          <cell r="E5" t="str">
            <v>B2ARATMGeneral Requirements View</v>
          </cell>
          <cell r="F5" t="str">
            <v>General Requirements View</v>
          </cell>
        </row>
        <row r="6">
          <cell r="E6" t="str">
            <v>B2ARVTM01 Verification-Design</v>
          </cell>
          <cell r="F6" t="str">
            <v>01 Verification-Design</v>
          </cell>
        </row>
        <row r="7">
          <cell r="E7" t="str">
            <v>B2AHF Issues RegisterHF Issues</v>
          </cell>
          <cell r="F7" t="str">
            <v>HF Issues</v>
          </cell>
        </row>
        <row r="8">
          <cell r="E8" t="str">
            <v>B2A&lt;&lt;RVTM&gt;&gt;n/a</v>
          </cell>
          <cell r="F8" t="str">
            <v>module-list</v>
          </cell>
        </row>
        <row r="9">
          <cell r="E9" t="str">
            <v>B2A-IRPLSRAATMGeneral Requirements View</v>
          </cell>
          <cell r="F9" t="str">
            <v>General Requirements View</v>
          </cell>
        </row>
        <row r="10">
          <cell r="E10" t="str">
            <v>B2A-IRPLSVCRM01 Verification-Design</v>
          </cell>
          <cell r="F10" t="str">
            <v>01 Verification-Design</v>
          </cell>
        </row>
        <row r="11">
          <cell r="E11" t="str">
            <v>B2A-IRPLSRAATMSSRS Export</v>
          </cell>
          <cell r="F11" t="str">
            <v>SSRS Export</v>
          </cell>
        </row>
        <row r="12">
          <cell r="E12" t="str">
            <v>B2A-IRPLSVCRMVerification</v>
          </cell>
          <cell r="F12" t="str">
            <v>Verification</v>
          </cell>
        </row>
        <row r="13">
          <cell r="E13" t="str">
            <v>B2A-IRPLSRequirements SpecificationExport PSR</v>
          </cell>
          <cell r="F13" t="str">
            <v>Export PSR</v>
          </cell>
        </row>
        <row r="14">
          <cell r="E14" t="str">
            <v>B2A-IRPLRequirements SpecificationExport PSR</v>
          </cell>
          <cell r="F14" t="str">
            <v>Export PSR</v>
          </cell>
        </row>
        <row r="15">
          <cell r="E15" t="str">
            <v>B2N&lt;&lt;RVTM&gt;&gt;n/a</v>
          </cell>
          <cell r="F15" t="str">
            <v>module-list</v>
          </cell>
        </row>
        <row r="16">
          <cell r="E16" t="str">
            <v>B2NDocument RegisterDocument Register</v>
          </cell>
          <cell r="F16" t="str">
            <v>document-register-export</v>
          </cell>
        </row>
        <row r="17">
          <cell r="E17" t="str">
            <v>B2NnoneAll Requirement Clause Artefacts</v>
          </cell>
          <cell r="F17" t="str">
            <v>All Requirement Clause Artefacts</v>
          </cell>
        </row>
        <row r="18">
          <cell r="E18" t="str">
            <v>B2NnoneRequirement Allocation _TOBEDELETED</v>
          </cell>
          <cell r="F18" t="str">
            <v>Requirement Allocation _TOBEDELETED</v>
          </cell>
        </row>
        <row r="19">
          <cell r="E19" t="str">
            <v>B2NnoneAll Modules</v>
          </cell>
          <cell r="F19" t="str">
            <v>All Modules</v>
          </cell>
        </row>
        <row r="20">
          <cell r="E20" t="str">
            <v>B2NRATMGeneral Requirements View</v>
          </cell>
          <cell r="F20" t="str">
            <v>ratm-export</v>
          </cell>
        </row>
        <row r="21">
          <cell r="E21" t="str">
            <v>B2NRATMIds Only</v>
          </cell>
          <cell r="F21" t="str">
            <v>Ids Only</v>
          </cell>
        </row>
        <row r="22">
          <cell r="E22" t="str">
            <v>B2NRVTM01 Verification-Design</v>
          </cell>
          <cell r="F22" t="str">
            <v>rvtm-des-export</v>
          </cell>
        </row>
        <row r="23">
          <cell r="E23" t="str">
            <v>B2NRVTM04 Verification and Validation</v>
          </cell>
          <cell r="F23" t="str">
            <v>rvtm-export</v>
          </cell>
        </row>
        <row r="24">
          <cell r="E24" t="str">
            <v>B2NPlan RVTMPlan RVTM View</v>
          </cell>
          <cell r="F24" t="str">
            <v>Plan RVTM View</v>
          </cell>
        </row>
        <row r="25">
          <cell r="E25" t="str">
            <v>B2NHF Issues RegisterHF Issues</v>
          </cell>
          <cell r="F25" t="str">
            <v>HF Issues</v>
          </cell>
        </row>
        <row r="26">
          <cell r="E26" t="str">
            <v>BDPRATMGeneral Requirements View</v>
          </cell>
          <cell r="F26" t="str">
            <v>General Requirements View</v>
          </cell>
        </row>
        <row r="27">
          <cell r="E27" t="str">
            <v>CLRS2AnoneAll Modules</v>
          </cell>
          <cell r="F27" t="str">
            <v>All Modules</v>
          </cell>
        </row>
        <row r="28">
          <cell r="E28" t="str">
            <v>CLRS2ARequirement SpecificationGeneral Requirements View</v>
          </cell>
          <cell r="F28" t="str">
            <v>ratm-export</v>
          </cell>
        </row>
        <row r="29">
          <cell r="E29" t="str">
            <v>CLRS2ARequirement SpecificationIds Only</v>
          </cell>
          <cell r="F29" t="str">
            <v>Ids Only</v>
          </cell>
        </row>
        <row r="30">
          <cell r="E30" t="str">
            <v>CWO-REZRATMGeneral Requirements View</v>
          </cell>
          <cell r="F30" t="str">
            <v>ratm-export</v>
          </cell>
        </row>
        <row r="31">
          <cell r="E31" t="str">
            <v>GCLRS3Requirement SpecificationGeneral Requirements View</v>
          </cell>
          <cell r="F31" t="str">
            <v>ratm-export</v>
          </cell>
        </row>
        <row r="32">
          <cell r="E32" t="str">
            <v>GCLRS3Requirement SpecificationCompletion</v>
          </cell>
          <cell r="F32" t="str">
            <v>cpm-export</v>
          </cell>
        </row>
        <row r="33">
          <cell r="E33" t="str">
            <v>GCLRS3RVTM03 Verification and Validation</v>
          </cell>
          <cell r="F33" t="str">
            <v>rvtm-all-export</v>
          </cell>
        </row>
        <row r="34">
          <cell r="E34" t="str">
            <v>GCLRS3RVTM02 Verification-Production/Validation</v>
          </cell>
          <cell r="F34" t="str">
            <v>rvtm-prod-val-export</v>
          </cell>
        </row>
        <row r="35">
          <cell r="E35" t="str">
            <v>GCLRS3RVTM01 Verification-Design</v>
          </cell>
          <cell r="F35" t="str">
            <v>rvtm-des-export</v>
          </cell>
        </row>
        <row r="36">
          <cell r="E36" t="str">
            <v>GCLRS3Document RegisterDocument Register</v>
          </cell>
          <cell r="F36" t="str">
            <v>document-register-export</v>
          </cell>
        </row>
        <row r="37">
          <cell r="E37" t="str">
            <v>GCLRS3noneAll Modules</v>
          </cell>
          <cell r="F37" t="str">
            <v>All Modules</v>
          </cell>
        </row>
        <row r="38">
          <cell r="E38" t="str">
            <v>GCLRS3noneRVTM Status</v>
          </cell>
          <cell r="F38" t="str">
            <v>RVTM Status</v>
          </cell>
        </row>
        <row r="39">
          <cell r="E39" t="str">
            <v>GCLRS3RVTM-ProcessVerification-Process</v>
          </cell>
          <cell r="F39" t="str">
            <v>rvtm-process-export</v>
          </cell>
        </row>
        <row r="40">
          <cell r="E40" t="str">
            <v>GCLRS3&lt;&lt;RVTM&gt;&gt;n/a</v>
          </cell>
          <cell r="F40" t="str">
            <v>module-list</v>
          </cell>
        </row>
        <row r="41">
          <cell r="E41" t="str">
            <v>GCLRS3Hazards RegisterHazards Register</v>
          </cell>
          <cell r="F41" t="str">
            <v>hazards-export</v>
          </cell>
        </row>
        <row r="42">
          <cell r="E42" t="str">
            <v>GCLRS3Causes RegisterCauses Register</v>
          </cell>
          <cell r="F42" t="str">
            <v>causes-export</v>
          </cell>
        </row>
        <row r="43">
          <cell r="E43" t="str">
            <v>GCLRS3Controls RegisterControls Register</v>
          </cell>
          <cell r="F43" t="str">
            <v>controls-export</v>
          </cell>
        </row>
        <row r="44">
          <cell r="E44" t="str">
            <v>GCLRS3TLE RegisterTLE</v>
          </cell>
          <cell r="F44" t="str">
            <v>tle-register-export</v>
          </cell>
        </row>
        <row r="45">
          <cell r="E45" t="str">
            <v>GCLRS3HF Issues RegisterHF Issues Register</v>
          </cell>
          <cell r="F45" t="str">
            <v>hf-issues-export</v>
          </cell>
        </row>
        <row r="46">
          <cell r="E46" t="str">
            <v>GCLRS3ADC RegisterADC Register</v>
          </cell>
          <cell r="F46" t="str">
            <v>adc-export</v>
          </cell>
        </row>
        <row r="47">
          <cell r="E47" t="str">
            <v>GCLRS3_C2&lt;&lt;RVTM&gt;&gt;n/a</v>
          </cell>
          <cell r="F47" t="str">
            <v>module-list</v>
          </cell>
        </row>
        <row r="48">
          <cell r="E48" t="str">
            <v>GCLRS3_C2Document RegisterDocument Register</v>
          </cell>
          <cell r="F48" t="str">
            <v>document-register-export</v>
          </cell>
        </row>
        <row r="49">
          <cell r="E49" t="str">
            <v>GCLRS3_C2Requirement SpecificationGeneral Requirements View</v>
          </cell>
          <cell r="F49" t="str">
            <v>ratm-export</v>
          </cell>
        </row>
        <row r="50">
          <cell r="E50" t="str">
            <v>GCLRS3_C2Requirement SpecificationCompletion</v>
          </cell>
          <cell r="F50" t="str">
            <v>catm-export</v>
          </cell>
        </row>
        <row r="51">
          <cell r="E51" t="str">
            <v>GCLRS3_C2RVTM01 Verification-Design</v>
          </cell>
          <cell r="F51" t="str">
            <v>rvtm-des-export</v>
          </cell>
        </row>
        <row r="52">
          <cell r="E52" t="str">
            <v>GCLRS3_C2RVTMCompletion</v>
          </cell>
          <cell r="F52" t="str">
            <v>cvtm-export</v>
          </cell>
        </row>
        <row r="53">
          <cell r="E53" t="str">
            <v>GCLRS3_C2RVTM04 Verification and Validation</v>
          </cell>
          <cell r="F53" t="str">
            <v>rvtm-export</v>
          </cell>
        </row>
        <row r="54">
          <cell r="E54" t="str">
            <v>GCLRS3_C3Requirement SpecificationGeneral Requirements View</v>
          </cell>
          <cell r="F54" t="str">
            <v>ratm-export</v>
          </cell>
        </row>
        <row r="55">
          <cell r="E55" t="str">
            <v>I2SRAATMGeneral Requirements View</v>
          </cell>
          <cell r="F55" t="str">
            <v>ratm-export</v>
          </cell>
        </row>
        <row r="56">
          <cell r="E56" t="str">
            <v>I2SRAATMRATM(Tender)</v>
          </cell>
          <cell r="F56" t="str">
            <v>ratm-export</v>
          </cell>
        </row>
        <row r="57">
          <cell r="E57" t="str">
            <v>I2SVCRM01 Verification-Design</v>
          </cell>
          <cell r="F57" t="str">
            <v>01 Verification-Design</v>
          </cell>
        </row>
        <row r="58">
          <cell r="E58" t="str">
            <v>I2SRVTM-ProcessVerification-Process</v>
          </cell>
          <cell r="F58" t="str">
            <v>Verification-Process</v>
          </cell>
        </row>
        <row r="59">
          <cell r="E59" t="str">
            <v>I2S-IRPLSRAATMGeneral Requirements View</v>
          </cell>
          <cell r="F59" t="str">
            <v>General Requirements View</v>
          </cell>
        </row>
        <row r="60">
          <cell r="E60" t="str">
            <v>I2S-IRPLSVCRM01 Verification-Design</v>
          </cell>
          <cell r="F60" t="str">
            <v>01 Verification-Design</v>
          </cell>
        </row>
        <row r="61">
          <cell r="E61" t="str">
            <v>I2S-IRPLSRequirements SpecificationRAATM</v>
          </cell>
          <cell r="F61" t="str">
            <v>RAATM-1</v>
          </cell>
        </row>
        <row r="62">
          <cell r="E62" t="str">
            <v>I2S-IRPLSRAATMRAATM</v>
          </cell>
          <cell r="F62" t="str">
            <v>RAATM-2</v>
          </cell>
        </row>
        <row r="63">
          <cell r="E63" t="str">
            <v>I2S-IRPLSVCRMVCRM</v>
          </cell>
          <cell r="F63" t="str">
            <v>VCRM</v>
          </cell>
        </row>
        <row r="64">
          <cell r="E64" t="str">
            <v>JH-REI-001RATMGeneral Requirements View</v>
          </cell>
          <cell r="F64" t="str">
            <v>ratm-export</v>
          </cell>
        </row>
        <row r="65">
          <cell r="E65" t="str">
            <v>LGCRATMRATM(Tender)</v>
          </cell>
          <cell r="F65" t="str">
            <v>ratm-tender-export</v>
          </cell>
        </row>
        <row r="66">
          <cell r="E66" t="str">
            <v>LGCRATMDepartures(Tender)</v>
          </cell>
          <cell r="F66" t="str">
            <v>departures-tender-export</v>
          </cell>
        </row>
        <row r="67">
          <cell r="E67" t="str">
            <v>LGCRATMGeneral Requirements View</v>
          </cell>
          <cell r="F67" t="str">
            <v>ratm-export</v>
          </cell>
        </row>
        <row r="68">
          <cell r="E68" t="str">
            <v>LGCRVTM01 Verification-Design</v>
          </cell>
          <cell r="F68" t="str">
            <v>rvtm-des-export</v>
          </cell>
        </row>
        <row r="69">
          <cell r="E69" t="str">
            <v>M7-M12Requirement SpecificationGeneral Requirements View</v>
          </cell>
          <cell r="F69" t="str">
            <v>ratm-export</v>
          </cell>
        </row>
        <row r="70">
          <cell r="E70" t="str">
            <v>M7-M12Requirement SpecificationJust Ids</v>
          </cell>
          <cell r="F70" t="str">
            <v>ratm-ids-export</v>
          </cell>
        </row>
        <row r="71">
          <cell r="E71" t="str">
            <v>MARRequirement SpecificationGeneral Requirements View</v>
          </cell>
          <cell r="F71" t="str">
            <v>ratm-export</v>
          </cell>
        </row>
        <row r="72">
          <cell r="E72" t="str">
            <v>MARRequirement SpecificationGeneral Requirements View-Changes</v>
          </cell>
          <cell r="F72" t="str">
            <v>ratm-export</v>
          </cell>
        </row>
        <row r="73">
          <cell r="E73" t="str">
            <v>MARRVTM01 Verification-Design</v>
          </cell>
          <cell r="F73" t="str">
            <v>rvtm-des-export</v>
          </cell>
        </row>
        <row r="74">
          <cell r="E74" t="str">
            <v>MARPSTR DocumentPSTR Document view</v>
          </cell>
          <cell r="F74" t="str">
            <v>PSTR</v>
          </cell>
        </row>
        <row r="75">
          <cell r="E75" t="str">
            <v>MARGeneral DocumentSSA Requirement</v>
          </cell>
          <cell r="F75" t="str">
            <v>General Document</v>
          </cell>
        </row>
        <row r="76">
          <cell r="E76" t="str">
            <v>MAR-SSAPSTR DocumentPSTR Document view</v>
          </cell>
          <cell r="F76" t="str">
            <v>PSTR</v>
          </cell>
        </row>
        <row r="77">
          <cell r="E77" t="str">
            <v>MAR-SSAGeneral DocumentSSA Requirement</v>
          </cell>
          <cell r="F77" t="str">
            <v>General Document</v>
          </cell>
        </row>
        <row r="78">
          <cell r="E78" t="str">
            <v>MTMS2NADC LogADC Log</v>
          </cell>
          <cell r="F78" t="str">
            <v>adc-export</v>
          </cell>
        </row>
        <row r="79">
          <cell r="E79" t="str">
            <v>MTMS2NCauses RegisterCauses Register</v>
          </cell>
          <cell r="F79" t="str">
            <v>causes-export</v>
          </cell>
        </row>
        <row r="80">
          <cell r="E80" t="str">
            <v>MTMS2NChange LogChange Journal</v>
          </cell>
          <cell r="F80" t="str">
            <v>change-log-export</v>
          </cell>
        </row>
        <row r="81">
          <cell r="E81" t="str">
            <v>MTMS2NControls RegisterControls Register</v>
          </cell>
          <cell r="F81" t="str">
            <v>controls-export</v>
          </cell>
        </row>
        <row r="82">
          <cell r="E82" t="str">
            <v>MTMS2NDocument RegisterWorklots</v>
          </cell>
          <cell r="F82" t="str">
            <v>worklots-export</v>
          </cell>
        </row>
        <row r="83">
          <cell r="E83" t="str">
            <v>MTMS2NDocument Register AconexAconex</v>
          </cell>
          <cell r="F83" t="str">
            <v>rfi-aconex-export</v>
          </cell>
        </row>
        <row r="84">
          <cell r="E84" t="str">
            <v>MTMS2NEngineering Assurance Register01 Verification-Design</v>
          </cell>
          <cell r="F84" t="str">
            <v>rvtm-des-export</v>
          </cell>
        </row>
        <row r="85">
          <cell r="E85" t="str">
            <v>MTMS2NEngineering Assurance Register02 Verification-Production</v>
          </cell>
          <cell r="F85" t="str">
            <v>rvtm-prod-export</v>
          </cell>
        </row>
        <row r="86">
          <cell r="E86" t="str">
            <v>MTMS2NEngineering Assurance Register03 Validation</v>
          </cell>
          <cell r="F86" t="str">
            <v>rvtm-val-export</v>
          </cell>
        </row>
        <row r="87">
          <cell r="E87" t="str">
            <v>MTMS2NHazards RegisterHazards Register</v>
          </cell>
          <cell r="F87" t="str">
            <v>hazards-export</v>
          </cell>
        </row>
        <row r="88">
          <cell r="E88" t="str">
            <v>MTMS2NHF Issues RegisterHF Issues Register</v>
          </cell>
          <cell r="F88" t="str">
            <v>hf-issues-export</v>
          </cell>
        </row>
        <row r="89">
          <cell r="E89" t="str">
            <v>MTMS2NPrincipal Design SRSSRS</v>
          </cell>
          <cell r="F89" t="str">
            <v>srs-export</v>
          </cell>
        </row>
        <row r="90">
          <cell r="E90" t="str">
            <v>MTMS2NRequirement SpecificationGeneral Requirements View</v>
          </cell>
          <cell r="F90" t="str">
            <v>ratm-export</v>
          </cell>
        </row>
        <row r="91">
          <cell r="E91" t="str">
            <v>MTMS3AADC LogADC</v>
          </cell>
          <cell r="F91" t="str">
            <v>adc-export</v>
          </cell>
        </row>
        <row r="92">
          <cell r="E92" t="str">
            <v>MTMS3ABRSBusiness Requirement Specification</v>
          </cell>
          <cell r="F92" t="str">
            <v>brs-export</v>
          </cell>
        </row>
        <row r="93">
          <cell r="E93" t="str">
            <v>MTMS3ACauses RegisterCauses</v>
          </cell>
          <cell r="F93" t="str">
            <v>causes-export</v>
          </cell>
        </row>
        <row r="94">
          <cell r="E94" t="str">
            <v>MTMS3AChange LogChange Journal</v>
          </cell>
          <cell r="F94" t="str">
            <v>change-log-export</v>
          </cell>
        </row>
        <row r="95">
          <cell r="E95" t="str">
            <v>MTMS3AControls RegisterControls</v>
          </cell>
          <cell r="F95" t="str">
            <v>controls-export</v>
          </cell>
        </row>
        <row r="96">
          <cell r="E96" t="str">
            <v>MTMS3AEngineering Assurance Register01 Verification-Design</v>
          </cell>
          <cell r="F96" t="str">
            <v>rvtm-export</v>
          </cell>
        </row>
        <row r="97">
          <cell r="E97" t="str">
            <v>MTMS3AHazards RegisterHazards Register</v>
          </cell>
          <cell r="F97" t="str">
            <v>hazards-export</v>
          </cell>
        </row>
        <row r="98">
          <cell r="E98" t="str">
            <v>MTMS3AHF Issues RegisterHF Issues Register</v>
          </cell>
          <cell r="F98" t="str">
            <v>hf-issues-export</v>
          </cell>
        </row>
        <row r="99">
          <cell r="E99" t="str">
            <v>MTMS3ARequirement SpecificationGeneral Requirements View</v>
          </cell>
          <cell r="F99" t="str">
            <v>ratm-export</v>
          </cell>
        </row>
        <row r="100">
          <cell r="E100" t="str">
            <v>MTMS3ARequirement SpecificationClassic Check</v>
          </cell>
          <cell r="F100" t="str">
            <v>classic-export</v>
          </cell>
        </row>
        <row r="101">
          <cell r="E101" t="str">
            <v>NELRequirement SpecificationGeneral Requirements View</v>
          </cell>
          <cell r="F101" t="str">
            <v>rvtm-des-export</v>
          </cell>
        </row>
        <row r="102">
          <cell r="E102" t="str">
            <v>PLR2RATMGeneral Requirements View</v>
          </cell>
          <cell r="F102" t="str">
            <v>ratm-export</v>
          </cell>
        </row>
        <row r="103">
          <cell r="E103" t="str">
            <v>PLR2RVTMVerification and Validation</v>
          </cell>
          <cell r="F103" t="str">
            <v>rvtm-export</v>
          </cell>
        </row>
        <row r="104">
          <cell r="E104" t="str">
            <v>PLR2Process RVTMProcess Verification</v>
          </cell>
          <cell r="F104" t="str">
            <v>rvtm-process-export</v>
          </cell>
        </row>
        <row r="105">
          <cell r="E105" t="str">
            <v>PLR2Controls RegisterControls Register</v>
          </cell>
          <cell r="F105" t="str">
            <v>control-register-export</v>
          </cell>
        </row>
        <row r="106">
          <cell r="E106" t="str">
            <v>PLR2ADC RegisterADC Register</v>
          </cell>
          <cell r="F106" t="str">
            <v>adc-register-export</v>
          </cell>
        </row>
        <row r="107">
          <cell r="E107" t="str">
            <v>PSTRnoneVCRM Project Requirements</v>
          </cell>
          <cell r="F107" t="str">
            <v>VCRM Project Requirements</v>
          </cell>
        </row>
        <row r="108">
          <cell r="E108" t="str">
            <v>PSTRnoneVCRM System Requirements</v>
          </cell>
          <cell r="F108" t="str">
            <v>VCRM System Requirements</v>
          </cell>
        </row>
        <row r="109">
          <cell r="E109" t="str">
            <v>PSTRPSTR DocumentPSTR Requirements Traceability View</v>
          </cell>
          <cell r="F109" t="str">
            <v>pstr-export</v>
          </cell>
        </row>
        <row r="110">
          <cell r="E110" t="str">
            <v>QTMPQTMP-ModuleVerification Actions View</v>
          </cell>
          <cell r="F110" t="str">
            <v>va-export</v>
          </cell>
        </row>
        <row r="111">
          <cell r="E111" t="str">
            <v>QTMPQTMP-ModuleMFG Faciltiy Spec TMB</v>
          </cell>
          <cell r="F111" t="str">
            <v>ss-export</v>
          </cell>
        </row>
        <row r="112">
          <cell r="E112" t="str">
            <v>RSAADD (Application Design Document)REI-SR</v>
          </cell>
          <cell r="F112" t="str">
            <v>VCRM System Requirements-ADD-REI-SR</v>
          </cell>
        </row>
        <row r="113">
          <cell r="E113" t="str">
            <v>RSAnoneREI-VCRM Project Requirements</v>
          </cell>
          <cell r="F113" t="str">
            <v>REI-VCRM Project Requirements</v>
          </cell>
        </row>
        <row r="114">
          <cell r="E114" t="str">
            <v>RSAnoneREI-VCRM System Requirements</v>
          </cell>
          <cell r="F114" t="str">
            <v>REI-VCRM System Requirements</v>
          </cell>
        </row>
        <row r="115">
          <cell r="E115" t="str">
            <v>RSAnoneREI-VCRM Project Requirements</v>
          </cell>
          <cell r="F115" t="str">
            <v>VCRM Project Requirements</v>
          </cell>
        </row>
        <row r="116">
          <cell r="E116" t="str">
            <v>RSAnoneREI-VCRM System Requirements</v>
          </cell>
          <cell r="F116" t="str">
            <v>VCRM System Requirements</v>
          </cell>
        </row>
        <row r="117">
          <cell r="E117" t="str">
            <v>RSAnoneREI-Validation Actions</v>
          </cell>
          <cell r="F117" t="str">
            <v>REI-Validation Actions</v>
          </cell>
        </row>
        <row r="118">
          <cell r="E118" t="str">
            <v>RSAPSTRREI-PSTR</v>
          </cell>
          <cell r="F118" t="str">
            <v>REI-PSTR</v>
          </cell>
        </row>
        <row r="119">
          <cell r="E119" t="str">
            <v>RSARSA Interface Control DocumentREI-SR</v>
          </cell>
          <cell r="F119" t="str">
            <v>VCRM Interface Requirements-ICD-REI-SR</v>
          </cell>
        </row>
        <row r="120">
          <cell r="E120" t="str">
            <v>RSARSA OCDREI-PR</v>
          </cell>
          <cell r="F120" t="str">
            <v>VCRM OCD-REI-PR</v>
          </cell>
        </row>
        <row r="121">
          <cell r="E121" t="str">
            <v>RSARSA Project Requirements DocumentREI-PR</v>
          </cell>
          <cell r="F121" t="str">
            <v>VCRM Project Requirements-PRD-REI-PR</v>
          </cell>
        </row>
        <row r="122">
          <cell r="E122" t="str">
            <v>RSARSA Requirements DocumentREI-PR</v>
          </cell>
          <cell r="F122" t="str">
            <v>VCRM Project Requirements-RD-REI-PR</v>
          </cell>
        </row>
        <row r="123">
          <cell r="E123" t="str">
            <v>RSARSA Requirements DocumentREI-SR</v>
          </cell>
          <cell r="F123" t="str">
            <v>VCRM System Requirements-RD-REI-SR</v>
          </cell>
        </row>
        <row r="124">
          <cell r="E124" t="str">
            <v>RSARSA System Requirements DocumentREI-SR</v>
          </cell>
          <cell r="F124" t="str">
            <v>VCRM System Requirements-SRD-REI-SR</v>
          </cell>
        </row>
        <row r="125">
          <cell r="E125" t="str">
            <v>RSASDD (System Design Document)REI-PR</v>
          </cell>
          <cell r="F125" t="str">
            <v>VCRM System Design Requirements-SDD-REI-PR</v>
          </cell>
        </row>
        <row r="126">
          <cell r="E126" t="str">
            <v>RSAValidation_Actionsn/a</v>
          </cell>
          <cell r="F126" t="str">
            <v>Validation_Actions</v>
          </cell>
        </row>
        <row r="127">
          <cell r="E127" t="str">
            <v>RSAVerification_Actionsn/a</v>
          </cell>
          <cell r="F127" t="str">
            <v>Verification_Actions</v>
          </cell>
        </row>
        <row r="128">
          <cell r="E128" t="str">
            <v>SHVNPHRequirement SpecificationGeneral Requirements View</v>
          </cell>
          <cell r="F128" t="str">
            <v>ratm-export</v>
          </cell>
        </row>
        <row r="129">
          <cell r="E129" t="str">
            <v>SRLGnone30 - All Contractor Requirement</v>
          </cell>
          <cell r="F129" t="str">
            <v>30 - All Contractor Requirement</v>
          </cell>
        </row>
        <row r="130">
          <cell r="E130" t="str">
            <v>SRLGRATMRATM(Tender)</v>
          </cell>
          <cell r="F130" t="str">
            <v>RATM(Tender)</v>
          </cell>
        </row>
        <row r="131">
          <cell r="E131" t="str">
            <v>T2DRATMGeneral Requirements View</v>
          </cell>
          <cell r="F131" t="str">
            <v>ratm-export</v>
          </cell>
        </row>
      </sheetData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di Rolih-JHG" id="{A09C9491-7694-4748-A895-6840A38D7A65}" userId="S::rrolih@jhg.com.au::24ec0068-93cb-428b-85ca-32999d2cd91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13" dT="2021-06-17T10:33:22.91" personId="{A09C9491-7694-4748-A895-6840A38D7A65}" id="{85915A46-85AA-4E3F-B9D0-00107FEE0C8E}">
    <text>DOORS unique identifier.</text>
  </threadedComment>
  <threadedComment ref="D1014" dT="2021-06-17T10:33:05.56" personId="{A09C9491-7694-4748-A895-6840A38D7A65}" id="{1BA2C78B-165F-4B8D-BCF5-228E43F83756}">
    <text>The requirement source document.</text>
  </threadedComment>
  <threadedComment ref="D1016" dT="2021-06-17T10:32:20.96" personId="{A09C9491-7694-4748-A895-6840A38D7A65}" id="{5BBED8D2-F543-4443-8CC8-DCCA8F937560}">
    <text>Clause reference of the requirement.</text>
  </threadedComment>
  <threadedComment ref="D1017" dT="2021-06-17T10:27:17.88" personId="{A09C9491-7694-4748-A895-6840A38D7A65}" id="{4FA1F8B6-D543-4D05-BE39-196D6FC39D19}">
    <text>Administrative Requirement
Context
Heading
Information
Process Requirement
Technical Requirement</text>
  </threadedComment>
  <threadedComment ref="D1018" dT="2021-06-17T10:28:55.12" personId="{A09C9491-7694-4748-A895-6840A38D7A65}" id="{649AC719-AF67-4DEC-82BE-3BC8024CA68A}">
    <text>ADCs
BCA/DDA
CoA
Completion
Durability
EMC
Fire &amp; Life Safety
Geotech
Heritage
Human Factors
Interface
ISCA
Lifecycle Costs
RAM
Safety
Security
System</text>
  </threadedComment>
  <threadedComment ref="D1020" dT="2021-06-17T10:29:31.26" personId="{A09C9491-7694-4748-A895-6840A38D7A65}" id="{B0D408DB-5A63-45A2-B551-3FEE4054115D}">
    <text>Low
Medium
High
Regulatory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hgrei.clm.ibmcloud.com/" TargetMode="External"/><Relationship Id="rId18" Type="http://schemas.openxmlformats.org/officeDocument/2006/relationships/hyperlink" Target="https://ajmjv.clm.ibmcloud.com/" TargetMode="External"/><Relationship Id="rId26" Type="http://schemas.openxmlformats.org/officeDocument/2006/relationships/hyperlink" Target="https://jhgrei.clm.ibmcloud.com/" TargetMode="External"/><Relationship Id="rId39" Type="http://schemas.openxmlformats.org/officeDocument/2006/relationships/hyperlink" Target="https://ajmjv.clm.ibmcloud.com/" TargetMode="External"/><Relationship Id="rId21" Type="http://schemas.openxmlformats.org/officeDocument/2006/relationships/hyperlink" Target="https://jhgrei.clm.ibmcloud.com/" TargetMode="External"/><Relationship Id="rId34" Type="http://schemas.openxmlformats.org/officeDocument/2006/relationships/hyperlink" Target="https://ajmjv.clm.ibmcloud.com/" TargetMode="External"/><Relationship Id="rId42" Type="http://schemas.openxmlformats.org/officeDocument/2006/relationships/hyperlink" Target="https://jhgrei.clm.ibmcloud.com/" TargetMode="External"/><Relationship Id="rId47" Type="http://schemas.openxmlformats.org/officeDocument/2006/relationships/hyperlink" Target="https://jhgrei.clm.ibmcloud.com/" TargetMode="External"/><Relationship Id="rId50" Type="http://schemas.openxmlformats.org/officeDocument/2006/relationships/hyperlink" Target="https://ajmjv.clm.ibmcloud.com/" TargetMode="External"/><Relationship Id="rId55" Type="http://schemas.openxmlformats.org/officeDocument/2006/relationships/hyperlink" Target="https://ajmjv.clm.ibmcloud.com/" TargetMode="External"/><Relationship Id="rId7" Type="http://schemas.openxmlformats.org/officeDocument/2006/relationships/hyperlink" Target="https://ajmjv.clm.ibmcloud.com/" TargetMode="External"/><Relationship Id="rId2" Type="http://schemas.openxmlformats.org/officeDocument/2006/relationships/hyperlink" Target="https://jhgrei.clm.ibmcloud.com/" TargetMode="External"/><Relationship Id="rId16" Type="http://schemas.openxmlformats.org/officeDocument/2006/relationships/hyperlink" Target="https://downergroup.clm.ibmcloud.com/" TargetMode="External"/><Relationship Id="rId29" Type="http://schemas.openxmlformats.org/officeDocument/2006/relationships/hyperlink" Target="https://ajmjv.clm.ibmcloud.com/" TargetMode="External"/><Relationship Id="rId11" Type="http://schemas.openxmlformats.org/officeDocument/2006/relationships/hyperlink" Target="https://ajmjv.clm.ibmcloud.com/" TargetMode="External"/><Relationship Id="rId24" Type="http://schemas.openxmlformats.org/officeDocument/2006/relationships/hyperlink" Target="https://jhgrei.clm.ibmcloud.com/" TargetMode="External"/><Relationship Id="rId32" Type="http://schemas.openxmlformats.org/officeDocument/2006/relationships/hyperlink" Target="https://jhgrei.clm.ibmcloud.com/" TargetMode="External"/><Relationship Id="rId37" Type="http://schemas.openxmlformats.org/officeDocument/2006/relationships/hyperlink" Target="https://ajmjv.clm.ibmcloud.com/" TargetMode="External"/><Relationship Id="rId40" Type="http://schemas.openxmlformats.org/officeDocument/2006/relationships/hyperlink" Target="https://jhgrei.clm.ibmcloud.com/" TargetMode="External"/><Relationship Id="rId45" Type="http://schemas.openxmlformats.org/officeDocument/2006/relationships/hyperlink" Target="https://jhgrei.clm.ibmcloud.com/" TargetMode="External"/><Relationship Id="rId53" Type="http://schemas.openxmlformats.org/officeDocument/2006/relationships/hyperlink" Target="https://ajmjv.clm.ibmcloud.com/" TargetMode="External"/><Relationship Id="rId5" Type="http://schemas.openxmlformats.org/officeDocument/2006/relationships/hyperlink" Target="https://jhgrei.clm.ibmcloud.com/" TargetMode="External"/><Relationship Id="rId10" Type="http://schemas.openxmlformats.org/officeDocument/2006/relationships/hyperlink" Target="https://jhgrei.clm.ibmcloud.com/" TargetMode="External"/><Relationship Id="rId19" Type="http://schemas.openxmlformats.org/officeDocument/2006/relationships/hyperlink" Target="https://jhgrei.clm.ibmcloud.com/" TargetMode="External"/><Relationship Id="rId31" Type="http://schemas.openxmlformats.org/officeDocument/2006/relationships/hyperlink" Target="https://ajmjv.clm.ibmcloud.com/" TargetMode="External"/><Relationship Id="rId44" Type="http://schemas.openxmlformats.org/officeDocument/2006/relationships/hyperlink" Target="https://ajmjv.clm.ibmcloud.com/" TargetMode="External"/><Relationship Id="rId52" Type="http://schemas.openxmlformats.org/officeDocument/2006/relationships/hyperlink" Target="https://jhgrei.clm.ibmcloud.com/" TargetMode="External"/><Relationship Id="rId4" Type="http://schemas.openxmlformats.org/officeDocument/2006/relationships/hyperlink" Target="https://jhgrei.clm.ibmcloud.com/" TargetMode="External"/><Relationship Id="rId9" Type="http://schemas.openxmlformats.org/officeDocument/2006/relationships/hyperlink" Target="https://ajmjv.clm.ibmcloud.com/" TargetMode="External"/><Relationship Id="rId14" Type="http://schemas.openxmlformats.org/officeDocument/2006/relationships/hyperlink" Target="https://jhgrei.clm.ibmcloud.com/" TargetMode="External"/><Relationship Id="rId22" Type="http://schemas.openxmlformats.org/officeDocument/2006/relationships/hyperlink" Target="https://ajmjv.clm.ibmcloud.com/" TargetMode="External"/><Relationship Id="rId27" Type="http://schemas.openxmlformats.org/officeDocument/2006/relationships/hyperlink" Target="https://ajmjv.clm.ibmcloud.com/" TargetMode="External"/><Relationship Id="rId30" Type="http://schemas.openxmlformats.org/officeDocument/2006/relationships/hyperlink" Target="https://ajmjv.clm.ibmcloud.com/" TargetMode="External"/><Relationship Id="rId35" Type="http://schemas.openxmlformats.org/officeDocument/2006/relationships/hyperlink" Target="https://ajmjv.clm.ibmcloud.com/" TargetMode="External"/><Relationship Id="rId43" Type="http://schemas.openxmlformats.org/officeDocument/2006/relationships/hyperlink" Target="https://jhgrei.clm.ibmcloud.com/" TargetMode="External"/><Relationship Id="rId48" Type="http://schemas.openxmlformats.org/officeDocument/2006/relationships/hyperlink" Target="https://jhgrei.clm.ibmcloud.com/" TargetMode="External"/><Relationship Id="rId8" Type="http://schemas.openxmlformats.org/officeDocument/2006/relationships/hyperlink" Target="https://jhgrei.clm.ibmcloud.com/" TargetMode="External"/><Relationship Id="rId51" Type="http://schemas.openxmlformats.org/officeDocument/2006/relationships/hyperlink" Target="https://ajmjv.clm.ibmcloud.com/" TargetMode="External"/><Relationship Id="rId3" Type="http://schemas.openxmlformats.org/officeDocument/2006/relationships/hyperlink" Target="https://jhgrei.clm.ibmcloud.com/" TargetMode="External"/><Relationship Id="rId12" Type="http://schemas.openxmlformats.org/officeDocument/2006/relationships/hyperlink" Target="https://ajmjv.clm.ibmcloud.com/" TargetMode="External"/><Relationship Id="rId17" Type="http://schemas.openxmlformats.org/officeDocument/2006/relationships/hyperlink" Target="https://downergroup.clm.ibmcloud.com/" TargetMode="External"/><Relationship Id="rId25" Type="http://schemas.openxmlformats.org/officeDocument/2006/relationships/hyperlink" Target="https://ajmjv.clm.ibmcloud.com/" TargetMode="External"/><Relationship Id="rId33" Type="http://schemas.openxmlformats.org/officeDocument/2006/relationships/hyperlink" Target="https://ajmjv.clm.ibmcloud.com/" TargetMode="External"/><Relationship Id="rId38" Type="http://schemas.openxmlformats.org/officeDocument/2006/relationships/hyperlink" Target="https://jhgrei.clm.ibmcloud.com/" TargetMode="External"/><Relationship Id="rId46" Type="http://schemas.openxmlformats.org/officeDocument/2006/relationships/hyperlink" Target="https://jhgrei.clm.ibmcloud.com/" TargetMode="External"/><Relationship Id="rId20" Type="http://schemas.openxmlformats.org/officeDocument/2006/relationships/hyperlink" Target="https://ajmjv.clm.ibmcloud.com/" TargetMode="External"/><Relationship Id="rId41" Type="http://schemas.openxmlformats.org/officeDocument/2006/relationships/hyperlink" Target="https://ajmjv.clm.ibmcloud.com/" TargetMode="External"/><Relationship Id="rId54" Type="http://schemas.openxmlformats.org/officeDocument/2006/relationships/hyperlink" Target="https://ajmjv.clm.ibmcloud.com/" TargetMode="External"/><Relationship Id="rId1" Type="http://schemas.openxmlformats.org/officeDocument/2006/relationships/hyperlink" Target="https://jhgrei.clm.ibmcloud.com/" TargetMode="External"/><Relationship Id="rId6" Type="http://schemas.openxmlformats.org/officeDocument/2006/relationships/hyperlink" Target="https://ajmjv.clm.ibmcloud.com/" TargetMode="External"/><Relationship Id="rId15" Type="http://schemas.openxmlformats.org/officeDocument/2006/relationships/hyperlink" Target="https://ajmjv.clm.ibmcloud.com/" TargetMode="External"/><Relationship Id="rId23" Type="http://schemas.openxmlformats.org/officeDocument/2006/relationships/hyperlink" Target="https://ajmjv.clm.ibmcloud.com/" TargetMode="External"/><Relationship Id="rId28" Type="http://schemas.openxmlformats.org/officeDocument/2006/relationships/hyperlink" Target="https://jhgrei.clm.ibmcloud.com/" TargetMode="External"/><Relationship Id="rId36" Type="http://schemas.openxmlformats.org/officeDocument/2006/relationships/hyperlink" Target="https://jhgrei.clm.ibmcloud.com/" TargetMode="External"/><Relationship Id="rId49" Type="http://schemas.openxmlformats.org/officeDocument/2006/relationships/hyperlink" Target="https://ajmjv.clm.ibmcloud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jhgrei.clm.ibmcloud.com/rm/web" TargetMode="External"/><Relationship Id="rId1" Type="http://schemas.openxmlformats.org/officeDocument/2006/relationships/hyperlink" Target="https://jhgrei.clm.ibmcloud.com/rm/we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CEC33-5100-4FE6-8822-1F640CF6168F}">
  <sheetPr codeName="Sheet11"/>
  <dimension ref="A1:J1673"/>
  <sheetViews>
    <sheetView tabSelected="1" topLeftCell="B1" zoomScale="130" zoomScaleNormal="130" workbookViewId="0">
      <pane ySplit="1" topLeftCell="A1664" activePane="bottomLeft" state="frozen"/>
      <selection pane="bottomLeft" activeCell="B1671" sqref="B1671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37.9" customHeight="1" x14ac:dyDescent="0.25">
      <c r="A1" s="50" t="s">
        <v>1</v>
      </c>
      <c r="B1" s="50" t="s">
        <v>68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39</v>
      </c>
      <c r="H1" s="50" t="s">
        <v>58</v>
      </c>
      <c r="I1" s="50" t="s">
        <v>182</v>
      </c>
      <c r="J1" s="50" t="s">
        <v>1411</v>
      </c>
    </row>
    <row r="2" spans="1:10" x14ac:dyDescent="0.25">
      <c r="G2" s="8"/>
      <c r="H2" s="8"/>
      <c r="I2" s="8"/>
    </row>
    <row r="3" spans="1:10" x14ac:dyDescent="0.25">
      <c r="A3" s="4" t="s">
        <v>1042</v>
      </c>
      <c r="B3" s="4" t="s">
        <v>1254</v>
      </c>
      <c r="C3" s="4" t="s">
        <v>77</v>
      </c>
      <c r="D3" s="16" t="s">
        <v>84</v>
      </c>
      <c r="E3" s="16" t="s">
        <v>81</v>
      </c>
      <c r="F3" s="3"/>
      <c r="G3" s="8"/>
      <c r="H3" s="8"/>
      <c r="I3" s="8"/>
    </row>
    <row r="4" spans="1:10" x14ac:dyDescent="0.25">
      <c r="A4" s="4" t="s">
        <v>1042</v>
      </c>
      <c r="B4" s="4" t="s">
        <v>1254</v>
      </c>
      <c r="C4" s="4" t="s">
        <v>77</v>
      </c>
      <c r="D4" s="16" t="s">
        <v>1213</v>
      </c>
      <c r="E4" s="16" t="s">
        <v>81</v>
      </c>
      <c r="F4" s="16" t="s">
        <v>104</v>
      </c>
      <c r="G4" s="8"/>
      <c r="H4" s="8"/>
      <c r="I4" s="8"/>
    </row>
    <row r="5" spans="1:10" ht="30" x14ac:dyDescent="0.25">
      <c r="A5" s="4" t="s">
        <v>1042</v>
      </c>
      <c r="B5" s="4" t="s">
        <v>1254</v>
      </c>
      <c r="C5" s="4" t="s">
        <v>95</v>
      </c>
      <c r="D5" s="16" t="e">
        <f>I5&amp;".txt"</f>
        <v>#REF!</v>
      </c>
      <c r="E5" s="16" t="s">
        <v>81</v>
      </c>
      <c r="F5" s="3"/>
      <c r="G5" s="16" t="s">
        <v>259</v>
      </c>
      <c r="H5" s="16" t="s">
        <v>59</v>
      </c>
      <c r="I5" s="16" t="e">
        <f>VLOOKUP(A5&amp;G5&amp;H5,#REF!,2,FALSE)</f>
        <v>#REF!</v>
      </c>
    </row>
    <row r="6" spans="1:10" ht="30" x14ac:dyDescent="0.25">
      <c r="A6" s="4" t="s">
        <v>1042</v>
      </c>
      <c r="B6" s="4" t="s">
        <v>1254</v>
      </c>
      <c r="C6" s="4" t="s">
        <v>96</v>
      </c>
      <c r="D6" s="16" t="e">
        <f>I6&amp;".txt"</f>
        <v>#REF!</v>
      </c>
      <c r="E6" s="16" t="s">
        <v>81</v>
      </c>
      <c r="F6" s="16" t="s">
        <v>104</v>
      </c>
      <c r="G6" s="16" t="s">
        <v>1189</v>
      </c>
      <c r="H6" s="16" t="s">
        <v>60</v>
      </c>
      <c r="I6" s="16" t="e">
        <f>VLOOKUP(A6&amp;G6&amp;H6,#REF!,2,FALSE)</f>
        <v>#REF!</v>
      </c>
    </row>
    <row r="7" spans="1:10" x14ac:dyDescent="0.25">
      <c r="G7" s="8"/>
      <c r="H7" s="8"/>
      <c r="I7" s="8"/>
    </row>
    <row r="8" spans="1:10" x14ac:dyDescent="0.25">
      <c r="A8" s="4" t="s">
        <v>1042</v>
      </c>
      <c r="B8" s="4" t="s">
        <v>259</v>
      </c>
      <c r="C8" s="4" t="s">
        <v>77</v>
      </c>
      <c r="D8" s="22" t="s">
        <v>749</v>
      </c>
      <c r="E8" s="22" t="s">
        <v>203</v>
      </c>
      <c r="F8" s="3"/>
      <c r="G8" s="8"/>
      <c r="H8" s="8"/>
      <c r="I8" s="8"/>
    </row>
    <row r="9" spans="1:10" x14ac:dyDescent="0.25">
      <c r="A9" s="4" t="s">
        <v>1042</v>
      </c>
      <c r="B9" s="4" t="s">
        <v>259</v>
      </c>
      <c r="C9" s="4" t="s">
        <v>77</v>
      </c>
      <c r="D9" s="22" t="s">
        <v>729</v>
      </c>
      <c r="E9" s="22" t="s">
        <v>203</v>
      </c>
      <c r="F9" s="3"/>
      <c r="G9" s="8"/>
      <c r="H9" s="8"/>
      <c r="I9" s="8"/>
    </row>
    <row r="10" spans="1:10" x14ac:dyDescent="0.25">
      <c r="A10" s="4" t="s">
        <v>1042</v>
      </c>
      <c r="B10" s="4" t="s">
        <v>259</v>
      </c>
      <c r="C10" s="4" t="s">
        <v>77</v>
      </c>
      <c r="D10" s="22" t="s">
        <v>750</v>
      </c>
      <c r="E10" s="22" t="s">
        <v>203</v>
      </c>
      <c r="F10" s="3"/>
      <c r="G10" s="8"/>
      <c r="H10" s="8"/>
      <c r="I10" s="8"/>
    </row>
    <row r="11" spans="1:10" x14ac:dyDescent="0.25">
      <c r="A11" s="4" t="s">
        <v>1042</v>
      </c>
      <c r="B11" s="4" t="s">
        <v>259</v>
      </c>
      <c r="C11" s="4" t="s">
        <v>77</v>
      </c>
      <c r="D11" s="22" t="s">
        <v>751</v>
      </c>
      <c r="E11" s="22" t="s">
        <v>203</v>
      </c>
      <c r="F11" s="3"/>
      <c r="G11" s="8"/>
      <c r="H11" s="8"/>
      <c r="I11" s="8"/>
    </row>
    <row r="12" spans="1:10" x14ac:dyDescent="0.25">
      <c r="A12" s="4" t="s">
        <v>1042</v>
      </c>
      <c r="B12" s="4" t="s">
        <v>259</v>
      </c>
      <c r="C12" s="4" t="s">
        <v>77</v>
      </c>
      <c r="D12" s="22" t="s">
        <v>752</v>
      </c>
      <c r="E12" s="22" t="s">
        <v>203</v>
      </c>
      <c r="F12" s="3"/>
      <c r="G12" s="8"/>
      <c r="H12" s="8"/>
      <c r="I12" s="8"/>
    </row>
    <row r="13" spans="1:10" x14ac:dyDescent="0.25">
      <c r="A13" s="4" t="s">
        <v>1042</v>
      </c>
      <c r="B13" s="4" t="s">
        <v>259</v>
      </c>
      <c r="C13" s="4" t="s">
        <v>77</v>
      </c>
      <c r="D13" s="22" t="s">
        <v>733</v>
      </c>
      <c r="E13" s="22" t="s">
        <v>203</v>
      </c>
      <c r="F13" s="3"/>
      <c r="G13" s="8"/>
      <c r="H13" s="8"/>
      <c r="I13" s="8"/>
    </row>
    <row r="14" spans="1:10" x14ac:dyDescent="0.25">
      <c r="A14" s="4" t="s">
        <v>1042</v>
      </c>
      <c r="B14" s="4" t="s">
        <v>259</v>
      </c>
      <c r="C14" s="4" t="s">
        <v>77</v>
      </c>
      <c r="D14" s="22" t="s">
        <v>734</v>
      </c>
      <c r="E14" s="22" t="s">
        <v>203</v>
      </c>
      <c r="F14" s="3"/>
      <c r="G14" s="8"/>
      <c r="H14" s="8"/>
      <c r="I14" s="8"/>
    </row>
    <row r="15" spans="1:10" x14ac:dyDescent="0.25">
      <c r="A15" s="4" t="s">
        <v>1042</v>
      </c>
      <c r="B15" s="4" t="s">
        <v>259</v>
      </c>
      <c r="C15" s="4" t="s">
        <v>77</v>
      </c>
      <c r="D15" s="22" t="s">
        <v>753</v>
      </c>
      <c r="E15" s="22" t="s">
        <v>203</v>
      </c>
      <c r="F15" s="3"/>
      <c r="G15" s="8"/>
      <c r="H15" s="8"/>
      <c r="I15" s="8"/>
    </row>
    <row r="16" spans="1:10" x14ac:dyDescent="0.25">
      <c r="A16" s="4" t="s">
        <v>1042</v>
      </c>
      <c r="B16" s="4" t="s">
        <v>259</v>
      </c>
      <c r="C16" s="4" t="s">
        <v>77</v>
      </c>
      <c r="D16" s="22" t="s">
        <v>754</v>
      </c>
      <c r="E16" s="22" t="s">
        <v>203</v>
      </c>
      <c r="F16" s="3"/>
      <c r="G16" s="8"/>
      <c r="H16" s="8"/>
      <c r="I16" s="8"/>
    </row>
    <row r="17" spans="1:9" x14ac:dyDescent="0.25">
      <c r="A17" s="4" t="s">
        <v>1042</v>
      </c>
      <c r="B17" s="4" t="s">
        <v>259</v>
      </c>
      <c r="C17" s="4" t="s">
        <v>77</v>
      </c>
      <c r="D17" s="22" t="s">
        <v>878</v>
      </c>
      <c r="E17" s="22" t="s">
        <v>203</v>
      </c>
      <c r="F17" s="3"/>
      <c r="G17" s="8"/>
      <c r="H17" s="8"/>
      <c r="I17" s="8"/>
    </row>
    <row r="18" spans="1:9" x14ac:dyDescent="0.25">
      <c r="A18" s="4" t="s">
        <v>1042</v>
      </c>
      <c r="B18" s="4" t="s">
        <v>259</v>
      </c>
      <c r="C18" s="4" t="s">
        <v>77</v>
      </c>
      <c r="D18" s="22" t="s">
        <v>946</v>
      </c>
      <c r="E18" s="22" t="s">
        <v>203</v>
      </c>
      <c r="F18" s="3"/>
      <c r="G18" s="8"/>
      <c r="H18" s="8"/>
      <c r="I18" s="8"/>
    </row>
    <row r="19" spans="1:9" x14ac:dyDescent="0.25">
      <c r="A19" s="4" t="s">
        <v>1042</v>
      </c>
      <c r="B19" s="4" t="s">
        <v>259</v>
      </c>
      <c r="C19" s="4" t="s">
        <v>77</v>
      </c>
      <c r="D19" s="16" t="s">
        <v>477</v>
      </c>
      <c r="E19" s="16" t="s">
        <v>477</v>
      </c>
      <c r="F19" s="3"/>
      <c r="G19" s="8"/>
      <c r="H19" s="8"/>
      <c r="I19" s="8"/>
    </row>
    <row r="20" spans="1:9" x14ac:dyDescent="0.25">
      <c r="A20" s="4" t="s">
        <v>1042</v>
      </c>
      <c r="B20" s="4" t="s">
        <v>259</v>
      </c>
      <c r="C20" s="4" t="s">
        <v>77</v>
      </c>
      <c r="D20" s="16" t="s">
        <v>84</v>
      </c>
      <c r="E20" s="16" t="s">
        <v>81</v>
      </c>
      <c r="F20" s="3"/>
      <c r="G20" s="8"/>
      <c r="H20" s="8"/>
      <c r="I20" s="8"/>
    </row>
    <row r="21" spans="1:9" x14ac:dyDescent="0.25">
      <c r="A21" s="4" t="s">
        <v>1042</v>
      </c>
      <c r="B21" s="4" t="s">
        <v>259</v>
      </c>
      <c r="C21" s="4" t="s">
        <v>77</v>
      </c>
      <c r="D21" s="16" t="s">
        <v>82</v>
      </c>
      <c r="E21" s="16" t="s">
        <v>79</v>
      </c>
      <c r="F21" s="3"/>
      <c r="G21" s="8"/>
      <c r="H21" s="8"/>
      <c r="I21" s="8"/>
    </row>
    <row r="22" spans="1:9" x14ac:dyDescent="0.25">
      <c r="A22" s="4" t="s">
        <v>1042</v>
      </c>
      <c r="B22" s="4" t="s">
        <v>259</v>
      </c>
      <c r="C22" s="4" t="s">
        <v>77</v>
      </c>
      <c r="D22" s="16" t="s">
        <v>85</v>
      </c>
      <c r="E22" s="16" t="s">
        <v>85</v>
      </c>
      <c r="F22" s="3"/>
      <c r="G22" s="8"/>
      <c r="H22" s="8"/>
      <c r="I22" s="8"/>
    </row>
    <row r="23" spans="1:9" x14ac:dyDescent="0.25">
      <c r="A23" s="4" t="s">
        <v>1042</v>
      </c>
      <c r="B23" s="4" t="s">
        <v>259</v>
      </c>
      <c r="C23" s="4" t="s">
        <v>77</v>
      </c>
      <c r="D23" s="16" t="s">
        <v>86</v>
      </c>
      <c r="E23" s="16" t="s">
        <v>87</v>
      </c>
      <c r="F23" s="3"/>
      <c r="G23" s="8"/>
      <c r="H23" s="8"/>
      <c r="I23" s="8"/>
    </row>
    <row r="24" spans="1:9" x14ac:dyDescent="0.25">
      <c r="A24" s="4" t="s">
        <v>1042</v>
      </c>
      <c r="B24" s="4" t="s">
        <v>259</v>
      </c>
      <c r="C24" s="4" t="s">
        <v>77</v>
      </c>
      <c r="D24" s="16" t="s">
        <v>88</v>
      </c>
      <c r="E24" s="16" t="s">
        <v>88</v>
      </c>
      <c r="F24" s="3"/>
      <c r="G24" s="8"/>
      <c r="H24" s="8"/>
      <c r="I24" s="8"/>
    </row>
    <row r="25" spans="1:9" x14ac:dyDescent="0.25">
      <c r="A25" s="4" t="s">
        <v>1042</v>
      </c>
      <c r="B25" s="4" t="s">
        <v>259</v>
      </c>
      <c r="C25" s="4" t="s">
        <v>77</v>
      </c>
      <c r="D25" s="16" t="s">
        <v>97</v>
      </c>
      <c r="E25" s="16" t="s">
        <v>98</v>
      </c>
      <c r="F25" s="3"/>
      <c r="G25" s="8"/>
      <c r="H25" s="8"/>
      <c r="I25" s="8"/>
    </row>
    <row r="26" spans="1:9" x14ac:dyDescent="0.25">
      <c r="A26" s="4" t="s">
        <v>1042</v>
      </c>
      <c r="B26" s="4" t="s">
        <v>259</v>
      </c>
      <c r="C26" s="4" t="s">
        <v>77</v>
      </c>
      <c r="D26" s="16" t="s">
        <v>99</v>
      </c>
      <c r="E26" s="16" t="s">
        <v>99</v>
      </c>
      <c r="F26" s="3"/>
      <c r="G26" s="8"/>
      <c r="H26" s="8"/>
      <c r="I26" s="8"/>
    </row>
    <row r="27" spans="1:9" x14ac:dyDescent="0.25">
      <c r="A27" s="4" t="s">
        <v>1042</v>
      </c>
      <c r="B27" s="4" t="s">
        <v>259</v>
      </c>
      <c r="C27" s="4" t="s">
        <v>77</v>
      </c>
      <c r="D27" s="16" t="s">
        <v>100</v>
      </c>
      <c r="E27" s="16" t="s">
        <v>101</v>
      </c>
      <c r="F27" s="3"/>
      <c r="G27" s="8"/>
      <c r="H27" s="8"/>
      <c r="I27" s="8"/>
    </row>
    <row r="28" spans="1:9" x14ac:dyDescent="0.25">
      <c r="A28" s="4" t="s">
        <v>1042</v>
      </c>
      <c r="B28" s="4" t="s">
        <v>259</v>
      </c>
      <c r="C28" s="4" t="s">
        <v>77</v>
      </c>
      <c r="D28" s="16" t="s">
        <v>102</v>
      </c>
      <c r="E28" s="16" t="s">
        <v>102</v>
      </c>
      <c r="F28" s="3"/>
      <c r="G28" s="8"/>
      <c r="H28" s="8"/>
      <c r="I28" s="8"/>
    </row>
    <row r="29" spans="1:9" x14ac:dyDescent="0.25">
      <c r="A29" s="4" t="s">
        <v>1042</v>
      </c>
      <c r="B29" s="4" t="s">
        <v>259</v>
      </c>
      <c r="C29" s="4" t="s">
        <v>77</v>
      </c>
      <c r="D29" s="16" t="s">
        <v>25</v>
      </c>
      <c r="E29" s="16" t="s">
        <v>333</v>
      </c>
      <c r="F29" s="3"/>
      <c r="G29" s="8"/>
      <c r="H29" s="8"/>
      <c r="I29" s="8"/>
    </row>
    <row r="30" spans="1:9" x14ac:dyDescent="0.25">
      <c r="A30" s="4" t="s">
        <v>1042</v>
      </c>
      <c r="B30" s="4" t="s">
        <v>259</v>
      </c>
      <c r="C30" s="4" t="s">
        <v>77</v>
      </c>
      <c r="D30" s="16" t="s">
        <v>103</v>
      </c>
      <c r="E30" s="16" t="s">
        <v>335</v>
      </c>
      <c r="F30" s="3"/>
      <c r="G30" s="8"/>
      <c r="H30" s="8"/>
      <c r="I30" s="8"/>
    </row>
    <row r="31" spans="1:9" x14ac:dyDescent="0.25">
      <c r="A31" s="4" t="s">
        <v>1042</v>
      </c>
      <c r="B31" s="4" t="s">
        <v>259</v>
      </c>
      <c r="C31" s="4" t="s">
        <v>77</v>
      </c>
      <c r="D31" s="16" t="s">
        <v>1213</v>
      </c>
      <c r="E31" s="16" t="s">
        <v>81</v>
      </c>
      <c r="F31" s="16" t="s">
        <v>104</v>
      </c>
      <c r="G31" s="8"/>
      <c r="H31" s="8"/>
      <c r="I31" s="8"/>
    </row>
    <row r="32" spans="1:9" x14ac:dyDescent="0.25">
      <c r="A32" s="4" t="s">
        <v>1042</v>
      </c>
      <c r="B32" s="4" t="s">
        <v>259</v>
      </c>
      <c r="C32" s="4" t="s">
        <v>77</v>
      </c>
      <c r="D32" s="16" t="s">
        <v>78</v>
      </c>
      <c r="E32" s="16" t="s">
        <v>79</v>
      </c>
      <c r="F32" s="16" t="s">
        <v>104</v>
      </c>
      <c r="G32" s="8"/>
      <c r="H32" s="8"/>
      <c r="I32" s="8"/>
    </row>
    <row r="33" spans="1:9" x14ac:dyDescent="0.25">
      <c r="A33" s="4" t="s">
        <v>1042</v>
      </c>
      <c r="B33" s="4" t="s">
        <v>259</v>
      </c>
      <c r="C33" s="4" t="s">
        <v>77</v>
      </c>
      <c r="D33" s="16" t="s">
        <v>89</v>
      </c>
      <c r="E33" s="16" t="s">
        <v>991</v>
      </c>
      <c r="F33" s="16" t="s">
        <v>104</v>
      </c>
      <c r="G33" s="8"/>
      <c r="H33" s="8"/>
      <c r="I33" s="8"/>
    </row>
    <row r="34" spans="1:9" x14ac:dyDescent="0.25">
      <c r="A34" s="4" t="s">
        <v>1042</v>
      </c>
      <c r="B34" s="4" t="s">
        <v>259</v>
      </c>
      <c r="C34" s="4" t="s">
        <v>77</v>
      </c>
      <c r="D34" s="16" t="s">
        <v>90</v>
      </c>
      <c r="E34" s="16" t="s">
        <v>992</v>
      </c>
      <c r="F34" s="16" t="s">
        <v>104</v>
      </c>
      <c r="G34" s="8"/>
      <c r="H34" s="8"/>
      <c r="I34" s="8"/>
    </row>
    <row r="35" spans="1:9" x14ac:dyDescent="0.25">
      <c r="A35" s="4" t="s">
        <v>1042</v>
      </c>
      <c r="B35" s="4" t="s">
        <v>259</v>
      </c>
      <c r="C35" s="4" t="s">
        <v>77</v>
      </c>
      <c r="D35" s="16" t="s">
        <v>93</v>
      </c>
      <c r="E35" s="16" t="s">
        <v>993</v>
      </c>
      <c r="F35" s="16" t="s">
        <v>104</v>
      </c>
      <c r="G35" s="8"/>
      <c r="H35" s="8"/>
      <c r="I35" s="8"/>
    </row>
    <row r="36" spans="1:9" x14ac:dyDescent="0.25">
      <c r="A36" s="4" t="s">
        <v>1042</v>
      </c>
      <c r="B36" s="4" t="s">
        <v>259</v>
      </c>
      <c r="C36" s="4" t="s">
        <v>77</v>
      </c>
      <c r="D36" s="16" t="s">
        <v>912</v>
      </c>
      <c r="E36" s="16" t="s">
        <v>79</v>
      </c>
      <c r="F36" s="16" t="s">
        <v>916</v>
      </c>
      <c r="G36" s="8"/>
      <c r="H36" s="8"/>
      <c r="I36" s="8"/>
    </row>
    <row r="37" spans="1:9" ht="30" x14ac:dyDescent="0.25">
      <c r="A37" s="4" t="s">
        <v>1042</v>
      </c>
      <c r="B37" s="4" t="s">
        <v>259</v>
      </c>
      <c r="C37" s="4" t="s">
        <v>77</v>
      </c>
      <c r="D37" s="16" t="s">
        <v>913</v>
      </c>
      <c r="E37" s="16" t="s">
        <v>915</v>
      </c>
      <c r="F37" s="16" t="s">
        <v>945</v>
      </c>
      <c r="G37" s="8"/>
      <c r="H37" s="8"/>
      <c r="I37" s="8"/>
    </row>
    <row r="38" spans="1:9" x14ac:dyDescent="0.25">
      <c r="A38" s="4" t="s">
        <v>1042</v>
      </c>
      <c r="B38" s="4" t="s">
        <v>259</v>
      </c>
      <c r="C38" s="4" t="s">
        <v>77</v>
      </c>
      <c r="D38" s="16" t="s">
        <v>914</v>
      </c>
      <c r="E38" s="16" t="s">
        <v>914</v>
      </c>
      <c r="F38" s="16" t="s">
        <v>916</v>
      </c>
      <c r="G38" s="8"/>
      <c r="H38" s="8"/>
      <c r="I38" s="8"/>
    </row>
    <row r="39" spans="1:9" x14ac:dyDescent="0.25">
      <c r="A39" s="4" t="s">
        <v>1042</v>
      </c>
      <c r="B39" s="4" t="s">
        <v>259</v>
      </c>
      <c r="C39" s="4" t="s">
        <v>77</v>
      </c>
      <c r="D39" s="16" t="s">
        <v>105</v>
      </c>
      <c r="E39" s="16" t="s">
        <v>105</v>
      </c>
      <c r="F39" s="3"/>
      <c r="G39" s="8"/>
      <c r="H39" s="8"/>
      <c r="I39" s="8"/>
    </row>
    <row r="40" spans="1:9" ht="30" x14ac:dyDescent="0.25">
      <c r="A40" s="4" t="s">
        <v>1042</v>
      </c>
      <c r="B40" s="4" t="s">
        <v>259</v>
      </c>
      <c r="C40" s="4" t="s">
        <v>95</v>
      </c>
      <c r="D40" s="16" t="e">
        <f>I40&amp;".txt"</f>
        <v>#REF!</v>
      </c>
      <c r="E40" s="16" t="s">
        <v>81</v>
      </c>
      <c r="F40" s="3"/>
      <c r="G40" s="16" t="s">
        <v>29</v>
      </c>
      <c r="H40" s="16" t="s">
        <v>59</v>
      </c>
      <c r="I40" s="16" t="e">
        <f>VLOOKUP(A40&amp;G40&amp;H40,#REF!,2,FALSE)</f>
        <v>#REF!</v>
      </c>
    </row>
    <row r="41" spans="1:9" ht="30" x14ac:dyDescent="0.25">
      <c r="A41" s="4" t="s">
        <v>1042</v>
      </c>
      <c r="B41" s="4" t="s">
        <v>259</v>
      </c>
      <c r="C41" s="4" t="s">
        <v>96</v>
      </c>
      <c r="D41" s="16" t="e">
        <f>I41&amp;".txt"</f>
        <v>#REF!</v>
      </c>
      <c r="E41" s="16" t="s">
        <v>81</v>
      </c>
      <c r="F41" s="16" t="s">
        <v>104</v>
      </c>
      <c r="G41" s="16" t="s">
        <v>7</v>
      </c>
      <c r="H41" s="16" t="s">
        <v>60</v>
      </c>
      <c r="I41" s="16" t="e">
        <f>VLOOKUP(A41&amp;G41&amp;H41,#REF!,2,FALSE)</f>
        <v>#REF!</v>
      </c>
    </row>
    <row r="42" spans="1:9" x14ac:dyDescent="0.25">
      <c r="G42" s="8"/>
      <c r="H42" s="8"/>
      <c r="I42" s="8"/>
    </row>
    <row r="43" spans="1:9" x14ac:dyDescent="0.25">
      <c r="A43" s="4" t="s">
        <v>1042</v>
      </c>
      <c r="B43" s="4" t="s">
        <v>1255</v>
      </c>
      <c r="C43" s="4" t="s">
        <v>77</v>
      </c>
      <c r="D43" s="16" t="s">
        <v>80</v>
      </c>
      <c r="E43" s="16" t="s">
        <v>81</v>
      </c>
      <c r="F43" s="16"/>
      <c r="G43" s="8"/>
      <c r="H43" s="8"/>
      <c r="I43" s="8"/>
    </row>
    <row r="44" spans="1:9" x14ac:dyDescent="0.25">
      <c r="A44" s="4" t="s">
        <v>1042</v>
      </c>
      <c r="B44" s="4" t="s">
        <v>1255</v>
      </c>
      <c r="C44" s="4" t="s">
        <v>77</v>
      </c>
      <c r="D44" s="16" t="s">
        <v>84</v>
      </c>
      <c r="E44" s="16" t="s">
        <v>81</v>
      </c>
      <c r="F44" s="16" t="s">
        <v>83</v>
      </c>
      <c r="G44" s="8"/>
      <c r="H44" s="8"/>
      <c r="I44" s="8"/>
    </row>
    <row r="45" spans="1:9" ht="30" x14ac:dyDescent="0.25">
      <c r="A45" s="4" t="s">
        <v>1042</v>
      </c>
      <c r="B45" s="4" t="s">
        <v>1255</v>
      </c>
      <c r="C45" s="4" t="s">
        <v>95</v>
      </c>
      <c r="D45" s="16" t="e">
        <f>I45&amp;".txt"</f>
        <v>#REF!</v>
      </c>
      <c r="E45" s="3"/>
      <c r="F45" s="3"/>
      <c r="G45" s="16" t="s">
        <v>1189</v>
      </c>
      <c r="H45" s="16" t="s">
        <v>60</v>
      </c>
      <c r="I45" s="16" t="e">
        <f>VLOOKUP(A45&amp;G45&amp;H45,#REF!,2,FALSE)</f>
        <v>#REF!</v>
      </c>
    </row>
    <row r="46" spans="1:9" ht="30" x14ac:dyDescent="0.25">
      <c r="A46" s="4" t="s">
        <v>1042</v>
      </c>
      <c r="B46" s="4" t="s">
        <v>1255</v>
      </c>
      <c r="C46" s="4" t="s">
        <v>96</v>
      </c>
      <c r="D46" s="16" t="e">
        <f>I46&amp;".txt"</f>
        <v>#REF!</v>
      </c>
      <c r="E46" s="16" t="s">
        <v>81</v>
      </c>
      <c r="F46" s="16" t="s">
        <v>83</v>
      </c>
      <c r="G46" s="16" t="s">
        <v>259</v>
      </c>
      <c r="H46" s="16" t="s">
        <v>59</v>
      </c>
      <c r="I46" s="16" t="e">
        <f>VLOOKUP(A46&amp;G46&amp;H46,#REF!,2,FALSE)</f>
        <v>#REF!</v>
      </c>
    </row>
    <row r="47" spans="1:9" x14ac:dyDescent="0.25">
      <c r="A47" s="37"/>
      <c r="B47" s="37"/>
      <c r="C47" s="37"/>
      <c r="D47" s="37"/>
      <c r="E47" s="37"/>
      <c r="F47" s="37"/>
      <c r="G47" s="8"/>
      <c r="H47" s="8"/>
      <c r="I47" s="8"/>
    </row>
    <row r="48" spans="1:9" x14ac:dyDescent="0.25">
      <c r="A48" s="4" t="s">
        <v>1042</v>
      </c>
      <c r="B48" s="4" t="s">
        <v>1051</v>
      </c>
      <c r="C48" s="4" t="s">
        <v>77</v>
      </c>
      <c r="D48" s="22" t="s">
        <v>997</v>
      </c>
      <c r="E48" s="22" t="s">
        <v>203</v>
      </c>
      <c r="F48" s="16"/>
      <c r="G48" s="8"/>
      <c r="H48" s="8"/>
      <c r="I48" s="8"/>
    </row>
    <row r="49" spans="1:9" x14ac:dyDescent="0.25">
      <c r="A49" s="4" t="s">
        <v>1042</v>
      </c>
      <c r="B49" s="4" t="s">
        <v>1051</v>
      </c>
      <c r="C49" s="4" t="s">
        <v>77</v>
      </c>
      <c r="D49" s="22" t="s">
        <v>905</v>
      </c>
      <c r="E49" s="22" t="s">
        <v>203</v>
      </c>
      <c r="F49" s="16"/>
      <c r="G49" s="8"/>
      <c r="H49" s="8"/>
      <c r="I49" s="8"/>
    </row>
    <row r="50" spans="1:9" x14ac:dyDescent="0.25">
      <c r="A50" s="4" t="s">
        <v>1042</v>
      </c>
      <c r="B50" s="4" t="s">
        <v>1051</v>
      </c>
      <c r="C50" s="4" t="s">
        <v>77</v>
      </c>
      <c r="D50" s="22" t="s">
        <v>998</v>
      </c>
      <c r="E50" s="22" t="s">
        <v>203</v>
      </c>
      <c r="F50" s="16"/>
      <c r="G50" s="8"/>
      <c r="H50" s="8"/>
      <c r="I50" s="8"/>
    </row>
    <row r="51" spans="1:9" x14ac:dyDescent="0.25">
      <c r="A51" s="4" t="s">
        <v>1042</v>
      </c>
      <c r="B51" s="4" t="s">
        <v>1051</v>
      </c>
      <c r="C51" s="4" t="s">
        <v>77</v>
      </c>
      <c r="D51" s="22" t="s">
        <v>906</v>
      </c>
      <c r="E51" s="22" t="s">
        <v>203</v>
      </c>
      <c r="F51" s="16"/>
      <c r="G51" s="8"/>
      <c r="H51" s="8"/>
      <c r="I51" s="8"/>
    </row>
    <row r="52" spans="1:9" x14ac:dyDescent="0.25">
      <c r="A52" s="4" t="s">
        <v>1042</v>
      </c>
      <c r="B52" s="4" t="s">
        <v>1051</v>
      </c>
      <c r="C52" s="4" t="s">
        <v>77</v>
      </c>
      <c r="D52" s="22" t="s">
        <v>907</v>
      </c>
      <c r="E52" s="22" t="s">
        <v>203</v>
      </c>
      <c r="F52" s="16"/>
      <c r="G52" s="8"/>
      <c r="H52" s="8"/>
      <c r="I52" s="8"/>
    </row>
    <row r="53" spans="1:9" x14ac:dyDescent="0.25">
      <c r="A53" s="4" t="s">
        <v>1042</v>
      </c>
      <c r="B53" s="4" t="s">
        <v>1051</v>
      </c>
      <c r="C53" s="4" t="s">
        <v>77</v>
      </c>
      <c r="D53" s="22" t="s">
        <v>999</v>
      </c>
      <c r="E53" s="22" t="s">
        <v>203</v>
      </c>
      <c r="F53" s="16"/>
      <c r="G53" s="8"/>
      <c r="H53" s="8"/>
      <c r="I53" s="8"/>
    </row>
    <row r="54" spans="1:9" x14ac:dyDescent="0.25">
      <c r="A54" s="4" t="s">
        <v>1042</v>
      </c>
      <c r="B54" s="4" t="s">
        <v>1051</v>
      </c>
      <c r="C54" s="4" t="s">
        <v>77</v>
      </c>
      <c r="D54" s="22" t="s">
        <v>908</v>
      </c>
      <c r="E54" s="22" t="s">
        <v>203</v>
      </c>
      <c r="F54" s="16"/>
      <c r="G54" s="8"/>
      <c r="H54" s="8"/>
      <c r="I54" s="8"/>
    </row>
    <row r="55" spans="1:9" x14ac:dyDescent="0.25">
      <c r="A55" s="4" t="s">
        <v>1042</v>
      </c>
      <c r="B55" s="4" t="s">
        <v>1051</v>
      </c>
      <c r="C55" s="4" t="s">
        <v>77</v>
      </c>
      <c r="D55" s="22" t="s">
        <v>1000</v>
      </c>
      <c r="E55" s="22" t="s">
        <v>203</v>
      </c>
      <c r="F55" s="16"/>
      <c r="G55" s="8"/>
      <c r="H55" s="8"/>
      <c r="I55" s="8"/>
    </row>
    <row r="56" spans="1:9" x14ac:dyDescent="0.25">
      <c r="A56" s="4" t="s">
        <v>1042</v>
      </c>
      <c r="B56" s="4" t="s">
        <v>1051</v>
      </c>
      <c r="C56" s="4" t="s">
        <v>77</v>
      </c>
      <c r="D56" s="22" t="s">
        <v>900</v>
      </c>
      <c r="E56" s="22" t="s">
        <v>203</v>
      </c>
      <c r="F56" s="16"/>
      <c r="G56" s="8"/>
      <c r="H56" s="8"/>
      <c r="I56" s="8"/>
    </row>
    <row r="57" spans="1:9" x14ac:dyDescent="0.25">
      <c r="A57" s="4" t="s">
        <v>1042</v>
      </c>
      <c r="B57" s="4" t="s">
        <v>1051</v>
      </c>
      <c r="C57" s="4" t="s">
        <v>77</v>
      </c>
      <c r="D57" s="22" t="s">
        <v>1001</v>
      </c>
      <c r="E57" s="22" t="s">
        <v>203</v>
      </c>
      <c r="F57" s="16"/>
      <c r="G57" s="8"/>
      <c r="H57" s="8"/>
      <c r="I57" s="8"/>
    </row>
    <row r="58" spans="1:9" x14ac:dyDescent="0.25">
      <c r="A58" s="4" t="s">
        <v>1042</v>
      </c>
      <c r="B58" s="4" t="s">
        <v>1051</v>
      </c>
      <c r="C58" s="4" t="s">
        <v>77</v>
      </c>
      <c r="D58" s="22" t="s">
        <v>1002</v>
      </c>
      <c r="E58" s="22" t="s">
        <v>203</v>
      </c>
      <c r="F58" s="16"/>
      <c r="G58" s="8"/>
      <c r="H58" s="8"/>
      <c r="I58" s="8"/>
    </row>
    <row r="59" spans="1:9" x14ac:dyDescent="0.25">
      <c r="A59" s="4" t="s">
        <v>1042</v>
      </c>
      <c r="B59" s="4" t="s">
        <v>1051</v>
      </c>
      <c r="C59" s="4" t="s">
        <v>77</v>
      </c>
      <c r="D59" s="16" t="s">
        <v>78</v>
      </c>
      <c r="E59" s="16" t="s">
        <v>79</v>
      </c>
      <c r="F59" s="16"/>
      <c r="G59" s="8"/>
      <c r="H59" s="8"/>
      <c r="I59" s="8"/>
    </row>
    <row r="60" spans="1:9" x14ac:dyDescent="0.25">
      <c r="A60" s="4" t="s">
        <v>1042</v>
      </c>
      <c r="B60" s="4" t="s">
        <v>1051</v>
      </c>
      <c r="C60" s="4" t="s">
        <v>77</v>
      </c>
      <c r="D60" s="16" t="s">
        <v>901</v>
      </c>
      <c r="E60" s="16" t="s">
        <v>901</v>
      </c>
      <c r="F60" s="16"/>
      <c r="G60" s="8"/>
      <c r="H60" s="8"/>
      <c r="I60" s="8"/>
    </row>
    <row r="61" spans="1:9" x14ac:dyDescent="0.25">
      <c r="A61" s="4" t="s">
        <v>1042</v>
      </c>
      <c r="B61" s="4" t="s">
        <v>1051</v>
      </c>
      <c r="C61" s="4" t="s">
        <v>77</v>
      </c>
      <c r="D61" s="16" t="s">
        <v>80</v>
      </c>
      <c r="E61" s="16" t="s">
        <v>81</v>
      </c>
      <c r="F61" s="16"/>
      <c r="G61" s="8"/>
      <c r="H61" s="8"/>
      <c r="I61" s="8"/>
    </row>
    <row r="62" spans="1:9" x14ac:dyDescent="0.25">
      <c r="A62" s="4" t="s">
        <v>1042</v>
      </c>
      <c r="B62" s="4" t="s">
        <v>1051</v>
      </c>
      <c r="C62" s="4" t="s">
        <v>77</v>
      </c>
      <c r="D62" s="16" t="s">
        <v>82</v>
      </c>
      <c r="E62" s="16" t="s">
        <v>79</v>
      </c>
      <c r="F62" s="16" t="s">
        <v>83</v>
      </c>
      <c r="G62" s="8"/>
      <c r="H62" s="8"/>
      <c r="I62" s="8"/>
    </row>
    <row r="63" spans="1:9" x14ac:dyDescent="0.25">
      <c r="A63" s="4" t="s">
        <v>1042</v>
      </c>
      <c r="B63" s="4" t="s">
        <v>1051</v>
      </c>
      <c r="C63" s="4" t="s">
        <v>77</v>
      </c>
      <c r="D63" s="16" t="s">
        <v>84</v>
      </c>
      <c r="E63" s="16" t="s">
        <v>81</v>
      </c>
      <c r="F63" s="16" t="s">
        <v>83</v>
      </c>
      <c r="G63" s="8"/>
      <c r="H63" s="8"/>
      <c r="I63" s="8"/>
    </row>
    <row r="64" spans="1:9" x14ac:dyDescent="0.25">
      <c r="A64" s="4" t="s">
        <v>1042</v>
      </c>
      <c r="B64" s="4" t="s">
        <v>1051</v>
      </c>
      <c r="C64" s="4" t="s">
        <v>77</v>
      </c>
      <c r="D64" s="16" t="s">
        <v>85</v>
      </c>
      <c r="E64" s="16" t="s">
        <v>85</v>
      </c>
      <c r="F64" s="16" t="s">
        <v>83</v>
      </c>
      <c r="G64" s="8"/>
      <c r="H64" s="8"/>
      <c r="I64" s="8"/>
    </row>
    <row r="65" spans="1:10" x14ac:dyDescent="0.25">
      <c r="A65" s="4" t="s">
        <v>1042</v>
      </c>
      <c r="B65" s="4" t="s">
        <v>1051</v>
      </c>
      <c r="C65" s="4" t="s">
        <v>77</v>
      </c>
      <c r="D65" s="16" t="s">
        <v>1207</v>
      </c>
      <c r="E65" s="16" t="s">
        <v>1208</v>
      </c>
      <c r="F65" s="16" t="s">
        <v>83</v>
      </c>
      <c r="G65" s="8"/>
      <c r="H65" s="8"/>
      <c r="I65" s="8"/>
    </row>
    <row r="66" spans="1:10" x14ac:dyDescent="0.25">
      <c r="A66" s="4" t="s">
        <v>1042</v>
      </c>
      <c r="B66" s="4" t="s">
        <v>1051</v>
      </c>
      <c r="C66" s="4" t="s">
        <v>77</v>
      </c>
      <c r="D66" s="16" t="s">
        <v>994</v>
      </c>
      <c r="E66" s="16" t="s">
        <v>1405</v>
      </c>
      <c r="F66" s="16" t="s">
        <v>83</v>
      </c>
      <c r="G66" s="8"/>
      <c r="H66" s="8"/>
      <c r="I66" s="8"/>
    </row>
    <row r="67" spans="1:10" x14ac:dyDescent="0.25">
      <c r="A67" s="4" t="s">
        <v>1042</v>
      </c>
      <c r="B67" s="4" t="s">
        <v>1051</v>
      </c>
      <c r="C67" s="4" t="s">
        <v>77</v>
      </c>
      <c r="D67" s="16" t="s">
        <v>86</v>
      </c>
      <c r="E67" s="16" t="s">
        <v>87</v>
      </c>
      <c r="F67" s="16" t="s">
        <v>83</v>
      </c>
      <c r="G67" s="8"/>
      <c r="H67" s="8"/>
      <c r="I67" s="8"/>
    </row>
    <row r="68" spans="1:10" x14ac:dyDescent="0.25">
      <c r="A68" s="4" t="s">
        <v>1042</v>
      </c>
      <c r="B68" s="4" t="s">
        <v>1051</v>
      </c>
      <c r="C68" s="4" t="s">
        <v>77</v>
      </c>
      <c r="D68" s="16" t="s">
        <v>88</v>
      </c>
      <c r="E68" s="16" t="s">
        <v>88</v>
      </c>
      <c r="F68" s="16" t="s">
        <v>83</v>
      </c>
      <c r="G68" s="8"/>
      <c r="H68" s="8"/>
      <c r="I68" s="8"/>
    </row>
    <row r="69" spans="1:10" x14ac:dyDescent="0.25">
      <c r="A69" s="4" t="s">
        <v>1042</v>
      </c>
      <c r="B69" s="4" t="s">
        <v>1051</v>
      </c>
      <c r="C69" s="4" t="s">
        <v>77</v>
      </c>
      <c r="D69" s="16" t="s">
        <v>99</v>
      </c>
      <c r="E69" s="16" t="s">
        <v>99</v>
      </c>
      <c r="F69" s="16" t="s">
        <v>83</v>
      </c>
      <c r="G69" s="8"/>
      <c r="H69" s="8"/>
      <c r="I69" s="8"/>
    </row>
    <row r="70" spans="1:10" x14ac:dyDescent="0.25">
      <c r="A70" s="4" t="s">
        <v>1042</v>
      </c>
      <c r="B70" s="4" t="s">
        <v>1051</v>
      </c>
      <c r="C70" s="4" t="s">
        <v>77</v>
      </c>
      <c r="D70" s="16" t="s">
        <v>89</v>
      </c>
      <c r="E70" s="16" t="s">
        <v>89</v>
      </c>
      <c r="F70" s="16"/>
      <c r="G70" s="8"/>
      <c r="H70" s="8"/>
      <c r="I70" s="8"/>
    </row>
    <row r="71" spans="1:10" x14ac:dyDescent="0.25">
      <c r="A71" s="4" t="s">
        <v>1042</v>
      </c>
      <c r="B71" s="4" t="s">
        <v>1051</v>
      </c>
      <c r="C71" s="4" t="s">
        <v>77</v>
      </c>
      <c r="D71" s="16" t="s">
        <v>90</v>
      </c>
      <c r="E71" s="16" t="s">
        <v>90</v>
      </c>
      <c r="F71" s="16"/>
      <c r="G71" s="8"/>
      <c r="H71" s="8"/>
      <c r="I71" s="8"/>
    </row>
    <row r="72" spans="1:10" x14ac:dyDescent="0.25">
      <c r="A72" s="4" t="s">
        <v>1042</v>
      </c>
      <c r="B72" s="4" t="s">
        <v>1051</v>
      </c>
      <c r="C72" s="4" t="s">
        <v>77</v>
      </c>
      <c r="D72" s="16" t="s">
        <v>93</v>
      </c>
      <c r="E72" s="16" t="s">
        <v>93</v>
      </c>
      <c r="F72" s="16"/>
      <c r="G72" s="8"/>
      <c r="H72" s="8"/>
      <c r="I72" s="8"/>
    </row>
    <row r="73" spans="1:10" x14ac:dyDescent="0.25">
      <c r="A73" s="4" t="s">
        <v>1042</v>
      </c>
      <c r="B73" s="4" t="s">
        <v>1051</v>
      </c>
      <c r="C73" s="4" t="s">
        <v>77</v>
      </c>
      <c r="D73" s="16" t="s">
        <v>94</v>
      </c>
      <c r="E73" s="16" t="s">
        <v>94</v>
      </c>
      <c r="F73" s="16"/>
      <c r="G73" s="8"/>
      <c r="H73" s="8"/>
      <c r="I73" s="8"/>
    </row>
    <row r="74" spans="1:10" ht="30" x14ac:dyDescent="0.25">
      <c r="A74" s="4" t="s">
        <v>1042</v>
      </c>
      <c r="B74" s="4" t="s">
        <v>1051</v>
      </c>
      <c r="C74" s="4" t="s">
        <v>95</v>
      </c>
      <c r="D74" s="16" t="e">
        <f>I74&amp;".txt"</f>
        <v>#REF!</v>
      </c>
      <c r="E74" s="3"/>
      <c r="F74" s="3"/>
      <c r="G74" s="16" t="s">
        <v>1189</v>
      </c>
      <c r="H74" s="16" t="s">
        <v>60</v>
      </c>
      <c r="I74" s="16" t="e">
        <f>VLOOKUP(A74&amp;G74&amp;H74,#REF!,2,FALSE)</f>
        <v>#REF!</v>
      </c>
    </row>
    <row r="75" spans="1:10" ht="30" x14ac:dyDescent="0.25">
      <c r="A75" s="4" t="s">
        <v>1042</v>
      </c>
      <c r="B75" s="4" t="s">
        <v>1051</v>
      </c>
      <c r="C75" s="4" t="s">
        <v>96</v>
      </c>
      <c r="D75" s="16" t="e">
        <f>I75&amp;".txt"</f>
        <v>#REF!</v>
      </c>
      <c r="E75" s="16" t="s">
        <v>81</v>
      </c>
      <c r="F75" s="16" t="s">
        <v>83</v>
      </c>
      <c r="G75" s="16" t="s">
        <v>259</v>
      </c>
      <c r="H75" s="16" t="s">
        <v>59</v>
      </c>
      <c r="I75" s="16" t="e">
        <f>VLOOKUP(A75&amp;G75&amp;H75,#REF!,2,FALSE)</f>
        <v>#REF!</v>
      </c>
    </row>
    <row r="76" spans="1:10" x14ac:dyDescent="0.25">
      <c r="A76" s="37"/>
      <c r="B76" s="37"/>
      <c r="C76" s="37"/>
      <c r="D76" s="37"/>
      <c r="E76" s="37"/>
      <c r="F76" s="37"/>
      <c r="G76" s="8"/>
      <c r="H76" s="8"/>
      <c r="I76" s="8"/>
    </row>
    <row r="77" spans="1:10" x14ac:dyDescent="0.25">
      <c r="A77" s="4" t="s">
        <v>1042</v>
      </c>
      <c r="B77" s="4" t="s">
        <v>1011</v>
      </c>
      <c r="C77" s="4" t="s">
        <v>77</v>
      </c>
      <c r="D77" s="16" t="s">
        <v>81</v>
      </c>
      <c r="E77" s="16" t="s">
        <v>81</v>
      </c>
      <c r="F77" s="3"/>
      <c r="G77" s="8"/>
      <c r="H77" s="8"/>
      <c r="I77" s="8"/>
      <c r="J77" s="8"/>
    </row>
    <row r="78" spans="1:10" x14ac:dyDescent="0.25">
      <c r="A78" s="4" t="s">
        <v>1042</v>
      </c>
      <c r="B78" s="4" t="s">
        <v>1011</v>
      </c>
      <c r="C78" s="4" t="s">
        <v>77</v>
      </c>
      <c r="D78" s="16" t="s">
        <v>1151</v>
      </c>
      <c r="E78" s="16" t="s">
        <v>1151</v>
      </c>
      <c r="F78" s="3"/>
      <c r="G78" s="8"/>
      <c r="H78" s="8"/>
      <c r="I78" s="8"/>
      <c r="J78" s="8"/>
    </row>
    <row r="79" spans="1:10" x14ac:dyDescent="0.25">
      <c r="A79" s="4" t="s">
        <v>1042</v>
      </c>
      <c r="B79" s="4" t="s">
        <v>1011</v>
      </c>
      <c r="C79" s="4" t="s">
        <v>77</v>
      </c>
      <c r="D79" s="16" t="s">
        <v>1152</v>
      </c>
      <c r="E79" s="16" t="s">
        <v>1152</v>
      </c>
      <c r="F79" s="3"/>
      <c r="G79" s="8"/>
      <c r="H79" s="8"/>
      <c r="I79" s="8"/>
      <c r="J79" s="8"/>
    </row>
    <row r="80" spans="1:10" x14ac:dyDescent="0.25">
      <c r="A80" s="4" t="s">
        <v>1042</v>
      </c>
      <c r="B80" s="4" t="s">
        <v>1011</v>
      </c>
      <c r="C80" s="4" t="s">
        <v>77</v>
      </c>
      <c r="D80" s="16" t="s">
        <v>1153</v>
      </c>
      <c r="E80" s="16" t="s">
        <v>1153</v>
      </c>
      <c r="F80" s="3"/>
      <c r="G80" s="8"/>
      <c r="H80" s="8"/>
      <c r="I80" s="8"/>
      <c r="J80" s="8"/>
    </row>
    <row r="81" spans="1:10" x14ac:dyDescent="0.25">
      <c r="A81" s="4" t="s">
        <v>1042</v>
      </c>
      <c r="B81" s="4" t="s">
        <v>1011</v>
      </c>
      <c r="C81" s="4" t="s">
        <v>77</v>
      </c>
      <c r="D81" s="16" t="s">
        <v>527</v>
      </c>
      <c r="E81" s="16" t="s">
        <v>527</v>
      </c>
      <c r="F81" s="3"/>
      <c r="G81" s="8"/>
      <c r="H81" s="8"/>
      <c r="I81" s="8"/>
      <c r="J81" s="8"/>
    </row>
    <row r="82" spans="1:10" x14ac:dyDescent="0.25">
      <c r="A82" s="4" t="s">
        <v>1042</v>
      </c>
      <c r="B82" s="4" t="s">
        <v>1011</v>
      </c>
      <c r="C82" s="4" t="s">
        <v>77</v>
      </c>
      <c r="D82" s="16" t="s">
        <v>1154</v>
      </c>
      <c r="E82" s="16" t="s">
        <v>1154</v>
      </c>
      <c r="F82" s="3"/>
      <c r="G82" s="8"/>
      <c r="H82" s="8"/>
      <c r="I82" s="8"/>
      <c r="J82" s="8"/>
    </row>
    <row r="83" spans="1:10" x14ac:dyDescent="0.25">
      <c r="A83" s="4" t="s">
        <v>1042</v>
      </c>
      <c r="B83" s="4" t="s">
        <v>1011</v>
      </c>
      <c r="C83" s="4" t="s">
        <v>77</v>
      </c>
      <c r="D83" s="16" t="s">
        <v>1155</v>
      </c>
      <c r="E83" s="16" t="s">
        <v>1155</v>
      </c>
      <c r="F83" s="3"/>
      <c r="G83" s="8"/>
      <c r="H83" s="8"/>
      <c r="I83" s="8"/>
      <c r="J83" s="8"/>
    </row>
    <row r="84" spans="1:10" x14ac:dyDescent="0.25">
      <c r="A84" s="4" t="s">
        <v>1042</v>
      </c>
      <c r="B84" s="4" t="s">
        <v>1011</v>
      </c>
      <c r="C84" s="4" t="s">
        <v>77</v>
      </c>
      <c r="D84" s="16" t="s">
        <v>172</v>
      </c>
      <c r="E84" s="16" t="s">
        <v>172</v>
      </c>
      <c r="F84" s="3"/>
      <c r="G84" s="8"/>
      <c r="H84" s="8"/>
      <c r="I84" s="8"/>
      <c r="J84" s="8"/>
    </row>
    <row r="85" spans="1:10" x14ac:dyDescent="0.25">
      <c r="A85" s="4" t="s">
        <v>1042</v>
      </c>
      <c r="B85" s="4" t="s">
        <v>1011</v>
      </c>
      <c r="C85" s="4" t="s">
        <v>77</v>
      </c>
      <c r="D85" s="16" t="s">
        <v>1156</v>
      </c>
      <c r="E85" s="16" t="s">
        <v>1156</v>
      </c>
      <c r="F85" s="3"/>
      <c r="G85" s="8"/>
      <c r="H85" s="8"/>
      <c r="I85" s="8"/>
      <c r="J85" s="8"/>
    </row>
    <row r="86" spans="1:10" x14ac:dyDescent="0.25">
      <c r="A86" s="4" t="s">
        <v>1042</v>
      </c>
      <c r="B86" s="4" t="s">
        <v>1011</v>
      </c>
      <c r="C86" s="4" t="s">
        <v>77</v>
      </c>
      <c r="D86" s="16" t="s">
        <v>1157</v>
      </c>
      <c r="E86" s="16" t="s">
        <v>1157</v>
      </c>
      <c r="F86" s="3"/>
      <c r="G86" s="8"/>
      <c r="H86" s="8"/>
      <c r="I86" s="8"/>
      <c r="J86" s="8"/>
    </row>
    <row r="87" spans="1:10" x14ac:dyDescent="0.25">
      <c r="A87" s="4" t="s">
        <v>1042</v>
      </c>
      <c r="B87" s="4" t="s">
        <v>1011</v>
      </c>
      <c r="C87" s="4" t="s">
        <v>77</v>
      </c>
      <c r="D87" s="16" t="s">
        <v>1158</v>
      </c>
      <c r="E87" s="16" t="s">
        <v>1158</v>
      </c>
      <c r="F87" s="3"/>
      <c r="G87" s="8"/>
      <c r="H87" s="8"/>
      <c r="I87" s="8"/>
      <c r="J87" s="8"/>
    </row>
    <row r="88" spans="1:10" x14ac:dyDescent="0.25">
      <c r="A88" s="4" t="s">
        <v>1042</v>
      </c>
      <c r="B88" s="4" t="s">
        <v>1011</v>
      </c>
      <c r="C88" s="4" t="s">
        <v>77</v>
      </c>
      <c r="D88" s="16" t="s">
        <v>1159</v>
      </c>
      <c r="E88" s="16" t="s">
        <v>1159</v>
      </c>
      <c r="F88" s="3"/>
      <c r="G88" s="8"/>
      <c r="H88" s="8"/>
      <c r="I88" s="8"/>
      <c r="J88" s="8"/>
    </row>
    <row r="89" spans="1:10" x14ac:dyDescent="0.25">
      <c r="A89" s="4" t="s">
        <v>1042</v>
      </c>
      <c r="B89" s="4" t="s">
        <v>1011</v>
      </c>
      <c r="C89" s="4" t="s">
        <v>77</v>
      </c>
      <c r="D89" s="16" t="s">
        <v>160</v>
      </c>
      <c r="E89" s="16" t="s">
        <v>160</v>
      </c>
      <c r="F89" s="3"/>
      <c r="G89" s="8"/>
      <c r="H89" s="8"/>
      <c r="I89" s="8"/>
      <c r="J89" s="8"/>
    </row>
    <row r="90" spans="1:10" x14ac:dyDescent="0.25">
      <c r="A90" s="4" t="s">
        <v>1042</v>
      </c>
      <c r="B90" s="4" t="s">
        <v>1011</v>
      </c>
      <c r="C90" s="4" t="s">
        <v>77</v>
      </c>
      <c r="D90" s="16" t="s">
        <v>412</v>
      </c>
      <c r="E90" s="16" t="s">
        <v>1168</v>
      </c>
      <c r="F90" s="16" t="s">
        <v>284</v>
      </c>
      <c r="G90" s="8"/>
      <c r="H90" s="8"/>
      <c r="I90" s="8"/>
      <c r="J90" s="8"/>
    </row>
    <row r="91" spans="1:10" x14ac:dyDescent="0.25">
      <c r="A91" s="4" t="s">
        <v>1042</v>
      </c>
      <c r="B91" s="4" t="s">
        <v>1011</v>
      </c>
      <c r="C91" s="4" t="s">
        <v>77</v>
      </c>
      <c r="D91" s="16" t="s">
        <v>1160</v>
      </c>
      <c r="E91" s="16" t="s">
        <v>1160</v>
      </c>
      <c r="F91" s="3"/>
      <c r="G91" s="8"/>
      <c r="H91" s="8"/>
      <c r="I91" s="8"/>
      <c r="J91" s="8"/>
    </row>
    <row r="92" spans="1:10" x14ac:dyDescent="0.25">
      <c r="A92" s="4" t="s">
        <v>1042</v>
      </c>
      <c r="B92" s="4" t="s">
        <v>1011</v>
      </c>
      <c r="C92" s="4" t="s">
        <v>77</v>
      </c>
      <c r="D92" s="16" t="s">
        <v>1161</v>
      </c>
      <c r="E92" s="16" t="s">
        <v>1161</v>
      </c>
      <c r="F92" s="3"/>
      <c r="G92" s="8"/>
      <c r="H92" s="8"/>
      <c r="I92" s="8"/>
      <c r="J92" s="8"/>
    </row>
    <row r="93" spans="1:10" x14ac:dyDescent="0.25">
      <c r="A93" s="4" t="s">
        <v>1042</v>
      </c>
      <c r="B93" s="4" t="s">
        <v>1011</v>
      </c>
      <c r="C93" s="4" t="s">
        <v>77</v>
      </c>
      <c r="D93" s="16" t="s">
        <v>1162</v>
      </c>
      <c r="E93" s="16" t="s">
        <v>1162</v>
      </c>
      <c r="F93" s="3"/>
      <c r="G93" s="8"/>
      <c r="H93" s="8"/>
      <c r="I93" s="8"/>
      <c r="J93" s="8"/>
    </row>
    <row r="94" spans="1:10" x14ac:dyDescent="0.25">
      <c r="A94" s="4" t="s">
        <v>1042</v>
      </c>
      <c r="B94" s="4" t="s">
        <v>1011</v>
      </c>
      <c r="C94" s="4" t="s">
        <v>77</v>
      </c>
      <c r="D94" s="16" t="s">
        <v>1165</v>
      </c>
      <c r="E94" s="16" t="s">
        <v>1165</v>
      </c>
      <c r="F94" s="3"/>
      <c r="G94" s="8"/>
      <c r="H94" s="8"/>
      <c r="I94" s="8"/>
      <c r="J94" s="8"/>
    </row>
    <row r="95" spans="1:10" x14ac:dyDescent="0.25">
      <c r="A95" s="4" t="s">
        <v>1042</v>
      </c>
      <c r="B95" s="4" t="s">
        <v>1011</v>
      </c>
      <c r="C95" s="4" t="s">
        <v>77</v>
      </c>
      <c r="D95" s="16" t="s">
        <v>1163</v>
      </c>
      <c r="E95" s="16" t="s">
        <v>1167</v>
      </c>
      <c r="F95" s="3"/>
      <c r="G95" s="8"/>
      <c r="H95" s="8"/>
      <c r="I95" s="8"/>
      <c r="J95" s="8"/>
    </row>
    <row r="96" spans="1:10" x14ac:dyDescent="0.25">
      <c r="A96" s="4" t="s">
        <v>1042</v>
      </c>
      <c r="B96" s="4" t="s">
        <v>1011</v>
      </c>
      <c r="C96" s="4" t="s">
        <v>77</v>
      </c>
      <c r="D96" s="16" t="s">
        <v>1164</v>
      </c>
      <c r="E96" s="16" t="s">
        <v>125</v>
      </c>
      <c r="F96" s="16" t="s">
        <v>104</v>
      </c>
      <c r="G96" s="8"/>
      <c r="H96" s="8"/>
      <c r="I96" s="8"/>
    </row>
    <row r="97" spans="1:9" x14ac:dyDescent="0.25">
      <c r="A97" s="4" t="s">
        <v>1042</v>
      </c>
      <c r="B97" s="4" t="s">
        <v>1011</v>
      </c>
      <c r="C97" s="4" t="s">
        <v>95</v>
      </c>
      <c r="D97" s="16" t="e">
        <f>I97&amp;".txt"</f>
        <v>#REF!</v>
      </c>
      <c r="E97" s="16" t="s">
        <v>81</v>
      </c>
      <c r="F97" s="3"/>
      <c r="G97" s="16" t="s">
        <v>36</v>
      </c>
      <c r="H97" s="16" t="s">
        <v>1011</v>
      </c>
      <c r="I97" s="16" t="e">
        <f>VLOOKUP(A97&amp;G97&amp;H97,#REF!,2,FALSE)</f>
        <v>#REF!</v>
      </c>
    </row>
    <row r="98" spans="1:9" ht="30" x14ac:dyDescent="0.25">
      <c r="A98" s="4" t="s">
        <v>1042</v>
      </c>
      <c r="B98" s="4" t="s">
        <v>1011</v>
      </c>
      <c r="C98" s="4" t="s">
        <v>96</v>
      </c>
      <c r="D98" s="16" t="e">
        <f>I98&amp;".txt"</f>
        <v>#REF!</v>
      </c>
      <c r="E98" s="16" t="s">
        <v>81</v>
      </c>
      <c r="F98" s="16" t="s">
        <v>104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A99" s="4" t="s">
        <v>1042</v>
      </c>
      <c r="B99" s="4" t="s">
        <v>1011</v>
      </c>
      <c r="C99" s="4" t="s">
        <v>96</v>
      </c>
      <c r="D99" s="16" t="e">
        <f>I99&amp;".txt"</f>
        <v>#REF!</v>
      </c>
      <c r="E99" s="16" t="s">
        <v>81</v>
      </c>
      <c r="F99" s="16" t="s">
        <v>284</v>
      </c>
      <c r="G99" s="16" t="s">
        <v>313</v>
      </c>
      <c r="H99" s="16" t="s">
        <v>315</v>
      </c>
      <c r="I99" s="16" t="e">
        <f>VLOOKUP(A99&amp;G99&amp;H99,#REF!,2,FALSE)</f>
        <v>#REF!</v>
      </c>
    </row>
    <row r="100" spans="1:9" x14ac:dyDescent="0.25">
      <c r="G100" s="8"/>
      <c r="H100" s="8"/>
      <c r="I100" s="8"/>
    </row>
    <row r="101" spans="1:9" x14ac:dyDescent="0.25">
      <c r="G101" s="8"/>
      <c r="H101" s="8"/>
      <c r="I101" s="8"/>
    </row>
    <row r="102" spans="1:9" x14ac:dyDescent="0.25">
      <c r="G102" s="8"/>
      <c r="H102" s="8"/>
      <c r="I102" s="8"/>
    </row>
    <row r="103" spans="1:9" x14ac:dyDescent="0.25">
      <c r="G103" s="8"/>
      <c r="H103" s="8"/>
      <c r="I103" s="8"/>
    </row>
    <row r="104" spans="1:9" x14ac:dyDescent="0.25">
      <c r="G104" s="8"/>
      <c r="H104" s="8"/>
      <c r="I104" s="8"/>
    </row>
    <row r="105" spans="1:9" x14ac:dyDescent="0.25">
      <c r="G105" s="8"/>
      <c r="H105" s="8"/>
      <c r="I105" s="8"/>
    </row>
    <row r="106" spans="1:9" x14ac:dyDescent="0.25">
      <c r="G106" s="8"/>
      <c r="H106" s="8"/>
      <c r="I106" s="8"/>
    </row>
    <row r="107" spans="1:9" x14ac:dyDescent="0.25">
      <c r="G107" s="8"/>
      <c r="H107" s="8"/>
      <c r="I107" s="8"/>
    </row>
    <row r="108" spans="1:9" x14ac:dyDescent="0.25">
      <c r="G108" s="8"/>
      <c r="H108" s="8"/>
      <c r="I108" s="8"/>
    </row>
    <row r="109" spans="1:9" x14ac:dyDescent="0.25">
      <c r="G109" s="8"/>
      <c r="H109" s="8"/>
      <c r="I109" s="8"/>
    </row>
    <row r="110" spans="1:9" x14ac:dyDescent="0.25">
      <c r="A110" s="37"/>
      <c r="B110" s="37"/>
      <c r="C110" s="37"/>
      <c r="D110" s="37"/>
      <c r="E110" s="37"/>
      <c r="F110" s="37"/>
      <c r="G110" s="8"/>
      <c r="H110" s="8"/>
      <c r="I110" s="8"/>
    </row>
    <row r="111" spans="1:9" x14ac:dyDescent="0.25">
      <c r="A111" s="4" t="s">
        <v>340</v>
      </c>
      <c r="B111" s="4" t="s">
        <v>737</v>
      </c>
      <c r="C111" s="4" t="s">
        <v>77</v>
      </c>
      <c r="D111" s="16" t="s">
        <v>84</v>
      </c>
      <c r="E111" s="16" t="s">
        <v>81</v>
      </c>
      <c r="F111" s="8"/>
      <c r="G111" s="8"/>
      <c r="H111" s="8"/>
      <c r="I111" s="8"/>
    </row>
    <row r="112" spans="1:9" x14ac:dyDescent="0.25">
      <c r="A112" s="4" t="s">
        <v>340</v>
      </c>
      <c r="B112" s="4" t="s">
        <v>737</v>
      </c>
      <c r="C112" s="4" t="s">
        <v>77</v>
      </c>
      <c r="D112" s="16" t="s">
        <v>82</v>
      </c>
      <c r="E112" s="16" t="s">
        <v>79</v>
      </c>
      <c r="F112" s="8"/>
      <c r="G112" s="8"/>
      <c r="H112" s="8"/>
      <c r="I112" s="8"/>
    </row>
    <row r="113" spans="1:9" x14ac:dyDescent="0.25">
      <c r="A113" s="4" t="s">
        <v>340</v>
      </c>
      <c r="B113" s="4" t="s">
        <v>737</v>
      </c>
      <c r="C113" s="4" t="s">
        <v>77</v>
      </c>
      <c r="D113" s="16" t="s">
        <v>80</v>
      </c>
      <c r="E113" s="16" t="s">
        <v>81</v>
      </c>
      <c r="F113" s="16" t="s">
        <v>104</v>
      </c>
      <c r="G113" s="8"/>
      <c r="H113" s="8"/>
      <c r="I113" s="8"/>
    </row>
    <row r="114" spans="1:9" x14ac:dyDescent="0.25">
      <c r="A114" s="4" t="s">
        <v>340</v>
      </c>
      <c r="B114" s="4" t="s">
        <v>737</v>
      </c>
      <c r="C114" s="4" t="s">
        <v>77</v>
      </c>
      <c r="D114" s="16" t="s">
        <v>78</v>
      </c>
      <c r="E114" s="16" t="s">
        <v>79</v>
      </c>
      <c r="F114" s="16" t="s">
        <v>104</v>
      </c>
      <c r="G114" s="8"/>
      <c r="H114" s="8"/>
      <c r="I114" s="8"/>
    </row>
    <row r="115" spans="1:9" x14ac:dyDescent="0.25">
      <c r="A115" s="4" t="s">
        <v>340</v>
      </c>
      <c r="B115" s="4" t="s">
        <v>737</v>
      </c>
      <c r="C115" s="4" t="s">
        <v>77</v>
      </c>
      <c r="D115" s="16" t="s">
        <v>89</v>
      </c>
      <c r="E115" s="16" t="s">
        <v>89</v>
      </c>
      <c r="F115" s="16" t="s">
        <v>104</v>
      </c>
      <c r="G115" s="8"/>
      <c r="H115" s="8"/>
      <c r="I115" s="8"/>
    </row>
    <row r="116" spans="1:9" ht="30" x14ac:dyDescent="0.25">
      <c r="A116" s="4" t="s">
        <v>340</v>
      </c>
      <c r="B116" s="4" t="s">
        <v>737</v>
      </c>
      <c r="C116" s="4" t="s">
        <v>95</v>
      </c>
      <c r="D116" s="16" t="e">
        <f>I116&amp;".txt"</f>
        <v>#REF!</v>
      </c>
      <c r="E116" s="16" t="s">
        <v>81</v>
      </c>
      <c r="F116" s="3"/>
      <c r="G116" s="16" t="s">
        <v>29</v>
      </c>
      <c r="H116" s="16" t="s">
        <v>59</v>
      </c>
      <c r="I116" s="16" t="e">
        <f>VLOOKUP(A116&amp;G116&amp;H116,#REF!,2,FALSE)</f>
        <v>#REF!</v>
      </c>
    </row>
    <row r="117" spans="1:9" ht="30" x14ac:dyDescent="0.25">
      <c r="A117" s="4" t="s">
        <v>340</v>
      </c>
      <c r="B117" s="4" t="s">
        <v>737</v>
      </c>
      <c r="C117" s="4" t="s">
        <v>96</v>
      </c>
      <c r="D117" s="16" t="e">
        <f>I117&amp;".txt"</f>
        <v>#REF!</v>
      </c>
      <c r="E117" s="16" t="s">
        <v>81</v>
      </c>
      <c r="F117" s="16" t="s">
        <v>104</v>
      </c>
      <c r="G117" s="16" t="s">
        <v>7</v>
      </c>
      <c r="H117" s="16" t="s">
        <v>60</v>
      </c>
      <c r="I117" s="16" t="e">
        <f>VLOOKUP(A117&amp;G117&amp;H117,#REF!,2,FALSE)</f>
        <v>#REF!</v>
      </c>
    </row>
    <row r="118" spans="1:9" x14ac:dyDescent="0.25">
      <c r="G118" s="8"/>
      <c r="H118" s="8"/>
      <c r="I118" s="8"/>
    </row>
    <row r="119" spans="1:9" x14ac:dyDescent="0.25">
      <c r="A119" s="4" t="s">
        <v>340</v>
      </c>
      <c r="B119" s="4" t="s">
        <v>259</v>
      </c>
      <c r="C119" s="4" t="s">
        <v>77</v>
      </c>
      <c r="D119" s="22" t="s">
        <v>749</v>
      </c>
      <c r="E119" s="22" t="s">
        <v>203</v>
      </c>
      <c r="G119" s="8"/>
      <c r="H119" s="8"/>
      <c r="I119" s="8"/>
    </row>
    <row r="120" spans="1:9" x14ac:dyDescent="0.25">
      <c r="A120" s="4" t="s">
        <v>340</v>
      </c>
      <c r="B120" s="4" t="s">
        <v>259</v>
      </c>
      <c r="C120" s="4" t="s">
        <v>77</v>
      </c>
      <c r="D120" s="22" t="s">
        <v>729</v>
      </c>
      <c r="E120" s="22" t="s">
        <v>203</v>
      </c>
      <c r="G120" s="8"/>
      <c r="H120" s="8"/>
      <c r="I120" s="8"/>
    </row>
    <row r="121" spans="1:9" x14ac:dyDescent="0.25">
      <c r="A121" s="4" t="s">
        <v>340</v>
      </c>
      <c r="B121" s="4" t="s">
        <v>259</v>
      </c>
      <c r="C121" s="4" t="s">
        <v>77</v>
      </c>
      <c r="D121" s="22" t="s">
        <v>750</v>
      </c>
      <c r="E121" s="22" t="s">
        <v>203</v>
      </c>
      <c r="G121" s="8"/>
      <c r="H121" s="8"/>
      <c r="I121" s="8"/>
    </row>
    <row r="122" spans="1:9" x14ac:dyDescent="0.25">
      <c r="A122" s="4" t="s">
        <v>340</v>
      </c>
      <c r="B122" s="4" t="s">
        <v>259</v>
      </c>
      <c r="C122" s="4" t="s">
        <v>77</v>
      </c>
      <c r="D122" s="22" t="s">
        <v>1031</v>
      </c>
      <c r="E122" s="22" t="s">
        <v>203</v>
      </c>
      <c r="G122" s="8"/>
      <c r="H122" s="8"/>
      <c r="I122" s="8"/>
    </row>
    <row r="123" spans="1:9" x14ac:dyDescent="0.25">
      <c r="A123" s="4" t="s">
        <v>340</v>
      </c>
      <c r="B123" s="4" t="s">
        <v>259</v>
      </c>
      <c r="C123" s="4" t="s">
        <v>77</v>
      </c>
      <c r="D123" s="22" t="s">
        <v>1032</v>
      </c>
      <c r="E123" s="22" t="s">
        <v>203</v>
      </c>
      <c r="G123" s="8"/>
      <c r="H123" s="8"/>
      <c r="I123" s="8"/>
    </row>
    <row r="124" spans="1:9" x14ac:dyDescent="0.25">
      <c r="A124" s="4" t="s">
        <v>340</v>
      </c>
      <c r="B124" s="4" t="s">
        <v>259</v>
      </c>
      <c r="C124" s="4" t="s">
        <v>77</v>
      </c>
      <c r="D124" s="22" t="s">
        <v>751</v>
      </c>
      <c r="E124" s="22" t="s">
        <v>203</v>
      </c>
      <c r="G124" s="8"/>
      <c r="H124" s="8"/>
      <c r="I124" s="8"/>
    </row>
    <row r="125" spans="1:9" x14ac:dyDescent="0.25">
      <c r="A125" s="4" t="s">
        <v>340</v>
      </c>
      <c r="B125" s="4" t="s">
        <v>259</v>
      </c>
      <c r="C125" s="4" t="s">
        <v>77</v>
      </c>
      <c r="D125" s="22" t="s">
        <v>752</v>
      </c>
      <c r="E125" s="22" t="s">
        <v>203</v>
      </c>
      <c r="G125" s="8"/>
      <c r="H125" s="8"/>
      <c r="I125" s="8"/>
    </row>
    <row r="126" spans="1:9" x14ac:dyDescent="0.25">
      <c r="A126" s="4" t="s">
        <v>340</v>
      </c>
      <c r="B126" s="4" t="s">
        <v>259</v>
      </c>
      <c r="C126" s="4" t="s">
        <v>77</v>
      </c>
      <c r="D126" s="22" t="s">
        <v>733</v>
      </c>
      <c r="E126" s="22" t="s">
        <v>203</v>
      </c>
      <c r="G126" s="8"/>
      <c r="H126" s="8"/>
      <c r="I126" s="8"/>
    </row>
    <row r="127" spans="1:9" x14ac:dyDescent="0.25">
      <c r="A127" s="4" t="s">
        <v>340</v>
      </c>
      <c r="B127" s="4" t="s">
        <v>259</v>
      </c>
      <c r="C127" s="4" t="s">
        <v>77</v>
      </c>
      <c r="D127" s="22" t="s">
        <v>1033</v>
      </c>
      <c r="E127" s="22" t="s">
        <v>203</v>
      </c>
      <c r="G127" s="8"/>
      <c r="H127" s="8"/>
      <c r="I127" s="8"/>
    </row>
    <row r="128" spans="1:9" x14ac:dyDescent="0.25">
      <c r="A128" s="4" t="s">
        <v>340</v>
      </c>
      <c r="B128" s="4" t="s">
        <v>259</v>
      </c>
      <c r="C128" s="4" t="s">
        <v>77</v>
      </c>
      <c r="D128" s="22" t="s">
        <v>753</v>
      </c>
      <c r="E128" s="22" t="s">
        <v>203</v>
      </c>
      <c r="G128" s="8"/>
      <c r="H128" s="8"/>
      <c r="I128" s="8"/>
    </row>
    <row r="129" spans="1:9" x14ac:dyDescent="0.25">
      <c r="A129" s="4" t="s">
        <v>340</v>
      </c>
      <c r="B129" s="4" t="s">
        <v>259</v>
      </c>
      <c r="C129" s="4" t="s">
        <v>77</v>
      </c>
      <c r="D129" s="22" t="s">
        <v>754</v>
      </c>
      <c r="E129" s="22" t="s">
        <v>203</v>
      </c>
      <c r="G129" s="8"/>
      <c r="H129" s="8"/>
      <c r="I129" s="8"/>
    </row>
    <row r="130" spans="1:9" x14ac:dyDescent="0.25">
      <c r="A130" s="4" t="s">
        <v>340</v>
      </c>
      <c r="B130" s="4" t="s">
        <v>259</v>
      </c>
      <c r="C130" s="4" t="s">
        <v>77</v>
      </c>
      <c r="D130" s="22" t="s">
        <v>878</v>
      </c>
      <c r="E130" s="22" t="s">
        <v>203</v>
      </c>
      <c r="G130" s="8"/>
      <c r="H130" s="8"/>
      <c r="I130" s="8"/>
    </row>
    <row r="131" spans="1:9" x14ac:dyDescent="0.25">
      <c r="A131" s="4" t="s">
        <v>340</v>
      </c>
      <c r="B131" s="4" t="s">
        <v>259</v>
      </c>
      <c r="C131" s="4" t="s">
        <v>77</v>
      </c>
      <c r="D131" s="22" t="s">
        <v>946</v>
      </c>
      <c r="E131" s="22" t="s">
        <v>203</v>
      </c>
      <c r="G131" s="8"/>
      <c r="H131" s="8"/>
      <c r="I131" s="8"/>
    </row>
    <row r="132" spans="1:9" x14ac:dyDescent="0.25">
      <c r="A132" s="4" t="s">
        <v>340</v>
      </c>
      <c r="B132" s="4" t="s">
        <v>259</v>
      </c>
      <c r="C132" s="4" t="s">
        <v>77</v>
      </c>
      <c r="D132" s="16" t="s">
        <v>477</v>
      </c>
      <c r="E132" s="16" t="s">
        <v>477</v>
      </c>
      <c r="G132" s="8"/>
      <c r="H132" s="8"/>
      <c r="I132" s="8"/>
    </row>
    <row r="133" spans="1:9" x14ac:dyDescent="0.25">
      <c r="A133" s="4" t="s">
        <v>340</v>
      </c>
      <c r="B133" s="4" t="s">
        <v>259</v>
      </c>
      <c r="C133" s="4" t="s">
        <v>77</v>
      </c>
      <c r="D133" s="16" t="s">
        <v>84</v>
      </c>
      <c r="E133" s="16" t="s">
        <v>81</v>
      </c>
      <c r="G133" s="8"/>
      <c r="H133" s="8"/>
      <c r="I133" s="8"/>
    </row>
    <row r="134" spans="1:9" x14ac:dyDescent="0.25">
      <c r="A134" s="4" t="s">
        <v>340</v>
      </c>
      <c r="B134" s="4" t="s">
        <v>259</v>
      </c>
      <c r="C134" s="4" t="s">
        <v>77</v>
      </c>
      <c r="D134" s="16" t="s">
        <v>82</v>
      </c>
      <c r="E134" s="16" t="s">
        <v>79</v>
      </c>
      <c r="G134" s="8"/>
      <c r="H134" s="8"/>
      <c r="I134" s="8"/>
    </row>
    <row r="135" spans="1:9" x14ac:dyDescent="0.25">
      <c r="A135" s="4" t="s">
        <v>340</v>
      </c>
      <c r="B135" s="4" t="s">
        <v>259</v>
      </c>
      <c r="C135" s="4" t="s">
        <v>77</v>
      </c>
      <c r="D135" s="16" t="s">
        <v>85</v>
      </c>
      <c r="E135" s="16" t="s">
        <v>85</v>
      </c>
      <c r="G135" s="8"/>
      <c r="H135" s="8"/>
      <c r="I135" s="8"/>
    </row>
    <row r="136" spans="1:9" x14ac:dyDescent="0.25">
      <c r="A136" s="4" t="s">
        <v>340</v>
      </c>
      <c r="B136" s="4" t="s">
        <v>259</v>
      </c>
      <c r="C136" s="4" t="s">
        <v>77</v>
      </c>
      <c r="D136" s="16" t="s">
        <v>86</v>
      </c>
      <c r="E136" s="16" t="s">
        <v>87</v>
      </c>
      <c r="G136" s="8"/>
      <c r="H136" s="8"/>
      <c r="I136" s="8"/>
    </row>
    <row r="137" spans="1:9" x14ac:dyDescent="0.25">
      <c r="A137" s="4" t="s">
        <v>340</v>
      </c>
      <c r="B137" s="4" t="s">
        <v>259</v>
      </c>
      <c r="C137" s="4" t="s">
        <v>77</v>
      </c>
      <c r="D137" s="16" t="s">
        <v>88</v>
      </c>
      <c r="E137" s="16" t="s">
        <v>88</v>
      </c>
      <c r="G137" s="8"/>
      <c r="H137" s="8"/>
      <c r="I137" s="8"/>
    </row>
    <row r="138" spans="1:9" x14ac:dyDescent="0.25">
      <c r="A138" s="4" t="s">
        <v>340</v>
      </c>
      <c r="B138" s="4" t="s">
        <v>259</v>
      </c>
      <c r="C138" s="4" t="s">
        <v>77</v>
      </c>
      <c r="D138" s="16" t="s">
        <v>97</v>
      </c>
      <c r="E138" s="16" t="s">
        <v>98</v>
      </c>
      <c r="G138" s="8"/>
      <c r="H138" s="8"/>
      <c r="I138" s="8"/>
    </row>
    <row r="139" spans="1:9" x14ac:dyDescent="0.25">
      <c r="A139" s="4" t="s">
        <v>340</v>
      </c>
      <c r="B139" s="4" t="s">
        <v>259</v>
      </c>
      <c r="C139" s="4" t="s">
        <v>77</v>
      </c>
      <c r="D139" s="16" t="s">
        <v>99</v>
      </c>
      <c r="E139" s="16" t="s">
        <v>99</v>
      </c>
      <c r="G139" s="8"/>
      <c r="H139" s="8"/>
      <c r="I139" s="8"/>
    </row>
    <row r="140" spans="1:9" x14ac:dyDescent="0.25">
      <c r="A140" s="4" t="s">
        <v>340</v>
      </c>
      <c r="B140" s="4" t="s">
        <v>259</v>
      </c>
      <c r="C140" s="4" t="s">
        <v>77</v>
      </c>
      <c r="D140" s="16" t="s">
        <v>100</v>
      </c>
      <c r="E140" s="16" t="s">
        <v>101</v>
      </c>
      <c r="G140" s="8"/>
      <c r="H140" s="8"/>
      <c r="I140" s="8"/>
    </row>
    <row r="141" spans="1:9" x14ac:dyDescent="0.25">
      <c r="A141" s="4" t="s">
        <v>340</v>
      </c>
      <c r="B141" s="4" t="s">
        <v>259</v>
      </c>
      <c r="C141" s="4" t="s">
        <v>77</v>
      </c>
      <c r="D141" s="16" t="s">
        <v>102</v>
      </c>
      <c r="E141" s="16" t="s">
        <v>102</v>
      </c>
      <c r="G141" s="8"/>
      <c r="H141" s="8"/>
      <c r="I141" s="8"/>
    </row>
    <row r="142" spans="1:9" x14ac:dyDescent="0.25">
      <c r="A142" s="4" t="s">
        <v>340</v>
      </c>
      <c r="B142" s="4" t="s">
        <v>259</v>
      </c>
      <c r="C142" s="4" t="s">
        <v>77</v>
      </c>
      <c r="D142" s="16" t="s">
        <v>25</v>
      </c>
      <c r="E142" s="16" t="s">
        <v>333</v>
      </c>
      <c r="G142" s="8"/>
      <c r="H142" s="8"/>
      <c r="I142" s="8"/>
    </row>
    <row r="143" spans="1:9" x14ac:dyDescent="0.25">
      <c r="A143" s="4" t="s">
        <v>340</v>
      </c>
      <c r="B143" s="4" t="s">
        <v>259</v>
      </c>
      <c r="C143" s="4" t="s">
        <v>77</v>
      </c>
      <c r="D143" s="16" t="s">
        <v>103</v>
      </c>
      <c r="E143" s="16" t="s">
        <v>335</v>
      </c>
      <c r="G143" s="8"/>
      <c r="H143" s="8"/>
      <c r="I143" s="8"/>
    </row>
    <row r="144" spans="1:9" x14ac:dyDescent="0.25">
      <c r="A144" s="4" t="s">
        <v>340</v>
      </c>
      <c r="B144" s="4" t="s">
        <v>259</v>
      </c>
      <c r="C144" s="4" t="s">
        <v>77</v>
      </c>
      <c r="D144" s="16" t="s">
        <v>78</v>
      </c>
      <c r="E144" s="16" t="s">
        <v>79</v>
      </c>
      <c r="F144" s="16" t="s">
        <v>104</v>
      </c>
      <c r="G144" s="8"/>
      <c r="H144" s="8"/>
      <c r="I144" s="8"/>
    </row>
    <row r="145" spans="1:9" x14ac:dyDescent="0.25">
      <c r="A145" s="4" t="s">
        <v>340</v>
      </c>
      <c r="B145" s="4" t="s">
        <v>259</v>
      </c>
      <c r="C145" s="4" t="s">
        <v>77</v>
      </c>
      <c r="D145" s="16" t="s">
        <v>89</v>
      </c>
      <c r="E145" s="16" t="s">
        <v>991</v>
      </c>
      <c r="F145" s="16" t="s">
        <v>104</v>
      </c>
      <c r="G145" s="8"/>
      <c r="H145" s="8"/>
      <c r="I145" s="8"/>
    </row>
    <row r="146" spans="1:9" x14ac:dyDescent="0.25">
      <c r="A146" s="4" t="s">
        <v>340</v>
      </c>
      <c r="B146" s="4" t="s">
        <v>259</v>
      </c>
      <c r="C146" s="4" t="s">
        <v>77</v>
      </c>
      <c r="D146" s="16" t="s">
        <v>90</v>
      </c>
      <c r="E146" s="16" t="s">
        <v>992</v>
      </c>
      <c r="F146" s="16" t="s">
        <v>104</v>
      </c>
      <c r="G146" s="8"/>
      <c r="H146" s="8"/>
      <c r="I146" s="8"/>
    </row>
    <row r="147" spans="1:9" x14ac:dyDescent="0.25">
      <c r="A147" s="4" t="s">
        <v>340</v>
      </c>
      <c r="B147" s="4" t="s">
        <v>259</v>
      </c>
      <c r="C147" s="4" t="s">
        <v>77</v>
      </c>
      <c r="D147" s="16" t="s">
        <v>93</v>
      </c>
      <c r="E147" s="16" t="s">
        <v>993</v>
      </c>
      <c r="F147" s="16" t="s">
        <v>104</v>
      </c>
      <c r="G147" s="8"/>
      <c r="H147" s="8"/>
      <c r="I147" s="8"/>
    </row>
    <row r="148" spans="1:9" x14ac:dyDescent="0.25">
      <c r="A148" s="4" t="s">
        <v>340</v>
      </c>
      <c r="B148" s="4" t="s">
        <v>259</v>
      </c>
      <c r="C148" s="4" t="s">
        <v>77</v>
      </c>
      <c r="D148" s="16" t="s">
        <v>94</v>
      </c>
      <c r="E148" s="16" t="s">
        <v>1034</v>
      </c>
      <c r="F148" s="16" t="s">
        <v>104</v>
      </c>
      <c r="G148" s="8"/>
      <c r="H148" s="8"/>
      <c r="I148" s="8"/>
    </row>
    <row r="149" spans="1:9" x14ac:dyDescent="0.25">
      <c r="A149" s="4" t="s">
        <v>340</v>
      </c>
      <c r="B149" s="4" t="s">
        <v>259</v>
      </c>
      <c r="C149" s="4" t="s">
        <v>77</v>
      </c>
      <c r="D149" s="16" t="s">
        <v>912</v>
      </c>
      <c r="E149" s="16" t="s">
        <v>79</v>
      </c>
      <c r="F149" s="16" t="s">
        <v>916</v>
      </c>
      <c r="G149" s="8"/>
      <c r="H149" s="8"/>
      <c r="I149" s="8"/>
    </row>
    <row r="150" spans="1:9" ht="30" x14ac:dyDescent="0.25">
      <c r="A150" s="4" t="s">
        <v>340</v>
      </c>
      <c r="B150" s="4" t="s">
        <v>259</v>
      </c>
      <c r="C150" s="4" t="s">
        <v>77</v>
      </c>
      <c r="D150" s="16" t="s">
        <v>913</v>
      </c>
      <c r="E150" s="16" t="s">
        <v>915</v>
      </c>
      <c r="F150" s="16" t="s">
        <v>945</v>
      </c>
      <c r="G150" s="8"/>
      <c r="H150" s="8"/>
      <c r="I150" s="8"/>
    </row>
    <row r="151" spans="1:9" x14ac:dyDescent="0.25">
      <c r="A151" s="4" t="s">
        <v>340</v>
      </c>
      <c r="B151" s="4" t="s">
        <v>259</v>
      </c>
      <c r="C151" s="4" t="s">
        <v>77</v>
      </c>
      <c r="D151" s="16" t="s">
        <v>914</v>
      </c>
      <c r="E151" s="16" t="s">
        <v>914</v>
      </c>
      <c r="F151" s="16" t="s">
        <v>916</v>
      </c>
      <c r="G151" s="8"/>
      <c r="H151" s="8"/>
      <c r="I151" s="8"/>
    </row>
    <row r="152" spans="1:9" x14ac:dyDescent="0.25">
      <c r="A152" s="4" t="s">
        <v>340</v>
      </c>
      <c r="B152" s="4" t="s">
        <v>259</v>
      </c>
      <c r="C152" s="4" t="s">
        <v>77</v>
      </c>
      <c r="D152" s="16" t="s">
        <v>801</v>
      </c>
      <c r="E152" s="16" t="s">
        <v>1035</v>
      </c>
      <c r="F152" s="16" t="s">
        <v>916</v>
      </c>
      <c r="G152" s="8"/>
      <c r="H152" s="8"/>
      <c r="I152" s="8"/>
    </row>
    <row r="153" spans="1:9" x14ac:dyDescent="0.25">
      <c r="A153" s="4" t="s">
        <v>340</v>
      </c>
      <c r="B153" s="4" t="s">
        <v>259</v>
      </c>
      <c r="C153" s="4" t="s">
        <v>77</v>
      </c>
      <c r="D153" s="16" t="s">
        <v>105</v>
      </c>
      <c r="E153" s="16" t="s">
        <v>105</v>
      </c>
      <c r="F153" s="3"/>
      <c r="G153" s="8"/>
      <c r="H153" s="8"/>
      <c r="I153" s="8"/>
    </row>
    <row r="154" spans="1:9" ht="30" x14ac:dyDescent="0.25">
      <c r="A154" s="4" t="s">
        <v>340</v>
      </c>
      <c r="B154" s="4" t="s">
        <v>259</v>
      </c>
      <c r="C154" s="4" t="s">
        <v>95</v>
      </c>
      <c r="D154" s="16" t="e">
        <f>I154&amp;".txt"</f>
        <v>#REF!</v>
      </c>
      <c r="E154" s="16" t="s">
        <v>81</v>
      </c>
      <c r="F154" s="3"/>
      <c r="G154" s="16" t="s">
        <v>29</v>
      </c>
      <c r="H154" s="16" t="s">
        <v>59</v>
      </c>
      <c r="I154" s="16" t="e">
        <f>VLOOKUP(A154&amp;G154&amp;H154,#REF!,2,FALSE)</f>
        <v>#REF!</v>
      </c>
    </row>
    <row r="155" spans="1:9" ht="30" x14ac:dyDescent="0.25">
      <c r="A155" s="4" t="s">
        <v>340</v>
      </c>
      <c r="B155" s="4" t="s">
        <v>259</v>
      </c>
      <c r="C155" s="4" t="s">
        <v>96</v>
      </c>
      <c r="D155" s="16" t="e">
        <f>I155&amp;".txt"</f>
        <v>#REF!</v>
      </c>
      <c r="E155" s="16" t="s">
        <v>81</v>
      </c>
      <c r="F155" s="16" t="s">
        <v>104</v>
      </c>
      <c r="G155" s="16" t="s">
        <v>7</v>
      </c>
      <c r="H155" s="16" t="s">
        <v>60</v>
      </c>
      <c r="I155" s="16" t="e">
        <f>VLOOKUP(A155&amp;G155&amp;H155,#REF!,2,FALSE)</f>
        <v>#REF!</v>
      </c>
    </row>
    <row r="156" spans="1:9" x14ac:dyDescent="0.25">
      <c r="A156" s="4" t="s">
        <v>340</v>
      </c>
      <c r="B156" s="4" t="s">
        <v>259</v>
      </c>
      <c r="C156" s="4" t="s">
        <v>96</v>
      </c>
      <c r="D156" s="16" t="e">
        <f>I156&amp;".txt"</f>
        <v>#REF!</v>
      </c>
      <c r="E156" s="16" t="s">
        <v>81</v>
      </c>
      <c r="F156" s="16" t="s">
        <v>916</v>
      </c>
      <c r="G156" s="16" t="s">
        <v>909</v>
      </c>
      <c r="H156" s="16" t="s">
        <v>911</v>
      </c>
      <c r="I156" s="16" t="e">
        <f>VLOOKUP(A156&amp;G156&amp;H156,#REF!,2,FALSE)</f>
        <v>#REF!</v>
      </c>
    </row>
    <row r="157" spans="1:9" x14ac:dyDescent="0.25">
      <c r="A157" s="4" t="s">
        <v>340</v>
      </c>
      <c r="B157" s="4" t="s">
        <v>259</v>
      </c>
      <c r="C157" s="4" t="s">
        <v>96</v>
      </c>
      <c r="D157" s="16" t="s">
        <v>986</v>
      </c>
      <c r="E157" s="16" t="s">
        <v>845</v>
      </c>
      <c r="F157" s="16" t="s">
        <v>879</v>
      </c>
      <c r="G157" s="16" t="s">
        <v>836</v>
      </c>
      <c r="H157" s="16" t="s">
        <v>839</v>
      </c>
      <c r="I157" s="16" t="s">
        <v>839</v>
      </c>
    </row>
    <row r="158" spans="1:9" x14ac:dyDescent="0.25">
      <c r="A158" s="8"/>
      <c r="B158" s="8"/>
      <c r="C158" s="8"/>
      <c r="D158" s="8"/>
      <c r="E158" s="8"/>
      <c r="F158" s="8"/>
      <c r="G158" s="8"/>
      <c r="H158" s="8"/>
      <c r="I158" s="8"/>
    </row>
    <row r="159" spans="1:9" x14ac:dyDescent="0.25">
      <c r="A159" s="4" t="s">
        <v>340</v>
      </c>
      <c r="B159" s="4" t="s">
        <v>1059</v>
      </c>
      <c r="C159" s="4" t="s">
        <v>77</v>
      </c>
      <c r="D159" s="22" t="s">
        <v>749</v>
      </c>
      <c r="E159" s="22" t="s">
        <v>203</v>
      </c>
      <c r="F159" s="3"/>
      <c r="G159" s="8"/>
      <c r="H159" s="8"/>
      <c r="I159" s="8"/>
    </row>
    <row r="160" spans="1:9" x14ac:dyDescent="0.25">
      <c r="A160" s="4" t="s">
        <v>340</v>
      </c>
      <c r="B160" s="4" t="s">
        <v>1059</v>
      </c>
      <c r="C160" s="4" t="s">
        <v>77</v>
      </c>
      <c r="D160" s="22" t="s">
        <v>729</v>
      </c>
      <c r="E160" s="22" t="s">
        <v>203</v>
      </c>
      <c r="F160" s="3"/>
      <c r="G160" s="8"/>
      <c r="H160" s="8"/>
      <c r="I160" s="8"/>
    </row>
    <row r="161" spans="1:9" x14ac:dyDescent="0.25">
      <c r="A161" s="4" t="s">
        <v>340</v>
      </c>
      <c r="B161" s="4" t="s">
        <v>1059</v>
      </c>
      <c r="C161" s="4" t="s">
        <v>77</v>
      </c>
      <c r="D161" s="22" t="s">
        <v>750</v>
      </c>
      <c r="E161" s="22" t="s">
        <v>203</v>
      </c>
      <c r="F161" s="3"/>
      <c r="G161" s="8"/>
      <c r="H161" s="8"/>
      <c r="I161" s="8"/>
    </row>
    <row r="162" spans="1:9" x14ac:dyDescent="0.25">
      <c r="A162" s="4" t="s">
        <v>340</v>
      </c>
      <c r="B162" s="4" t="s">
        <v>1059</v>
      </c>
      <c r="C162" s="4" t="s">
        <v>77</v>
      </c>
      <c r="D162" s="22" t="s">
        <v>1031</v>
      </c>
      <c r="E162" s="22" t="s">
        <v>203</v>
      </c>
      <c r="F162" s="3"/>
      <c r="G162" s="8"/>
      <c r="H162" s="8"/>
      <c r="I162" s="8"/>
    </row>
    <row r="163" spans="1:9" x14ac:dyDescent="0.25">
      <c r="A163" s="4" t="s">
        <v>340</v>
      </c>
      <c r="B163" s="4" t="s">
        <v>1059</v>
      </c>
      <c r="C163" s="4" t="s">
        <v>77</v>
      </c>
      <c r="D163" s="22" t="s">
        <v>1032</v>
      </c>
      <c r="E163" s="22" t="s">
        <v>203</v>
      </c>
      <c r="F163" s="3"/>
      <c r="G163" s="8"/>
      <c r="H163" s="8"/>
      <c r="I163" s="8"/>
    </row>
    <row r="164" spans="1:9" x14ac:dyDescent="0.25">
      <c r="A164" s="4" t="s">
        <v>340</v>
      </c>
      <c r="B164" s="4" t="s">
        <v>1059</v>
      </c>
      <c r="C164" s="4" t="s">
        <v>77</v>
      </c>
      <c r="D164" s="22" t="s">
        <v>751</v>
      </c>
      <c r="E164" s="22" t="s">
        <v>203</v>
      </c>
      <c r="F164" s="3"/>
      <c r="G164" s="8"/>
      <c r="H164" s="8"/>
      <c r="I164" s="8"/>
    </row>
    <row r="165" spans="1:9" x14ac:dyDescent="0.25">
      <c r="A165" s="4" t="s">
        <v>340</v>
      </c>
      <c r="B165" s="4" t="s">
        <v>1059</v>
      </c>
      <c r="C165" s="4" t="s">
        <v>77</v>
      </c>
      <c r="D165" s="22" t="s">
        <v>752</v>
      </c>
      <c r="E165" s="22" t="s">
        <v>203</v>
      </c>
      <c r="F165" s="3"/>
      <c r="G165" s="8"/>
      <c r="H165" s="8"/>
      <c r="I165" s="8"/>
    </row>
    <row r="166" spans="1:9" x14ac:dyDescent="0.25">
      <c r="A166" s="4" t="s">
        <v>340</v>
      </c>
      <c r="B166" s="4" t="s">
        <v>1059</v>
      </c>
      <c r="C166" s="4" t="s">
        <v>77</v>
      </c>
      <c r="D166" s="22" t="s">
        <v>733</v>
      </c>
      <c r="E166" s="22" t="s">
        <v>203</v>
      </c>
      <c r="F166" s="3"/>
      <c r="G166" s="8"/>
      <c r="H166" s="8"/>
      <c r="I166" s="8"/>
    </row>
    <row r="167" spans="1:9" x14ac:dyDescent="0.25">
      <c r="A167" s="4" t="s">
        <v>340</v>
      </c>
      <c r="B167" s="4" t="s">
        <v>1059</v>
      </c>
      <c r="C167" s="4" t="s">
        <v>77</v>
      </c>
      <c r="D167" s="22" t="s">
        <v>1033</v>
      </c>
      <c r="E167" s="22" t="s">
        <v>203</v>
      </c>
      <c r="F167" s="3"/>
      <c r="G167" s="8"/>
      <c r="H167" s="8"/>
      <c r="I167" s="8"/>
    </row>
    <row r="168" spans="1:9" x14ac:dyDescent="0.25">
      <c r="A168" s="4" t="s">
        <v>340</v>
      </c>
      <c r="B168" s="4" t="s">
        <v>1059</v>
      </c>
      <c r="C168" s="4" t="s">
        <v>77</v>
      </c>
      <c r="D168" s="22" t="s">
        <v>753</v>
      </c>
      <c r="E168" s="22" t="s">
        <v>203</v>
      </c>
      <c r="F168" s="3"/>
      <c r="G168" s="8"/>
      <c r="H168" s="8"/>
      <c r="I168" s="8"/>
    </row>
    <row r="169" spans="1:9" x14ac:dyDescent="0.25">
      <c r="A169" s="4" t="s">
        <v>340</v>
      </c>
      <c r="B169" s="4" t="s">
        <v>1059</v>
      </c>
      <c r="C169" s="4" t="s">
        <v>77</v>
      </c>
      <c r="D169" s="22" t="s">
        <v>754</v>
      </c>
      <c r="E169" s="22" t="s">
        <v>203</v>
      </c>
      <c r="F169" s="3"/>
      <c r="G169" s="8"/>
      <c r="H169" s="8"/>
      <c r="I169" s="8"/>
    </row>
    <row r="170" spans="1:9" x14ac:dyDescent="0.25">
      <c r="A170" s="4" t="s">
        <v>340</v>
      </c>
      <c r="B170" s="4" t="s">
        <v>1059</v>
      </c>
      <c r="C170" s="4" t="s">
        <v>77</v>
      </c>
      <c r="D170" s="22" t="s">
        <v>878</v>
      </c>
      <c r="E170" s="22" t="s">
        <v>203</v>
      </c>
      <c r="F170" s="3"/>
      <c r="G170" s="8"/>
      <c r="H170" s="8"/>
      <c r="I170" s="8"/>
    </row>
    <row r="171" spans="1:9" x14ac:dyDescent="0.25">
      <c r="A171" s="4" t="s">
        <v>340</v>
      </c>
      <c r="B171" s="4" t="s">
        <v>1059</v>
      </c>
      <c r="C171" s="4" t="s">
        <v>77</v>
      </c>
      <c r="D171" s="22" t="s">
        <v>946</v>
      </c>
      <c r="E171" s="22" t="s">
        <v>203</v>
      </c>
      <c r="F171" s="3"/>
      <c r="G171" s="8"/>
      <c r="H171" s="8"/>
      <c r="I171" s="8"/>
    </row>
    <row r="172" spans="1:9" x14ac:dyDescent="0.25">
      <c r="A172" s="4" t="s">
        <v>340</v>
      </c>
      <c r="B172" s="4" t="s">
        <v>1059</v>
      </c>
      <c r="C172" s="4" t="s">
        <v>77</v>
      </c>
      <c r="D172" s="16" t="s">
        <v>477</v>
      </c>
      <c r="E172" s="16" t="s">
        <v>477</v>
      </c>
      <c r="F172" s="3"/>
      <c r="G172" s="8"/>
      <c r="H172" s="8"/>
      <c r="I172" s="8"/>
    </row>
    <row r="173" spans="1:9" x14ac:dyDescent="0.25">
      <c r="A173" s="4" t="s">
        <v>340</v>
      </c>
      <c r="B173" s="4" t="s">
        <v>1059</v>
      </c>
      <c r="C173" s="4" t="s">
        <v>77</v>
      </c>
      <c r="D173" s="16" t="s">
        <v>84</v>
      </c>
      <c r="E173" s="16" t="s">
        <v>81</v>
      </c>
      <c r="F173" s="3"/>
      <c r="G173" s="8"/>
      <c r="H173" s="8"/>
      <c r="I173" s="8"/>
    </row>
    <row r="174" spans="1:9" x14ac:dyDescent="0.25">
      <c r="A174" s="4" t="s">
        <v>340</v>
      </c>
      <c r="B174" s="4" t="s">
        <v>1059</v>
      </c>
      <c r="C174" s="4" t="s">
        <v>77</v>
      </c>
      <c r="D174" s="16" t="s">
        <v>82</v>
      </c>
      <c r="E174" s="16" t="s">
        <v>79</v>
      </c>
      <c r="F174" s="3"/>
      <c r="G174" s="8"/>
      <c r="H174" s="8"/>
      <c r="I174" s="8"/>
    </row>
    <row r="175" spans="1:9" x14ac:dyDescent="0.25">
      <c r="A175" s="4" t="s">
        <v>340</v>
      </c>
      <c r="B175" s="4" t="s">
        <v>1059</v>
      </c>
      <c r="C175" s="4" t="s">
        <v>77</v>
      </c>
      <c r="D175" s="16" t="s">
        <v>85</v>
      </c>
      <c r="E175" s="16" t="s">
        <v>85</v>
      </c>
      <c r="F175" s="3"/>
      <c r="G175" s="8"/>
      <c r="H175" s="8"/>
      <c r="I175" s="8"/>
    </row>
    <row r="176" spans="1:9" x14ac:dyDescent="0.25">
      <c r="A176" s="4" t="s">
        <v>340</v>
      </c>
      <c r="B176" s="4" t="s">
        <v>1059</v>
      </c>
      <c r="C176" s="4" t="s">
        <v>77</v>
      </c>
      <c r="D176" s="16" t="s">
        <v>86</v>
      </c>
      <c r="E176" s="16" t="s">
        <v>87</v>
      </c>
      <c r="F176" s="3"/>
      <c r="G176" s="8"/>
      <c r="H176" s="8"/>
      <c r="I176" s="8"/>
    </row>
    <row r="177" spans="1:9" x14ac:dyDescent="0.25">
      <c r="A177" s="4" t="s">
        <v>340</v>
      </c>
      <c r="B177" s="4" t="s">
        <v>1059</v>
      </c>
      <c r="C177" s="4" t="s">
        <v>77</v>
      </c>
      <c r="D177" s="16" t="s">
        <v>88</v>
      </c>
      <c r="E177" s="16" t="s">
        <v>88</v>
      </c>
      <c r="F177" s="3"/>
      <c r="G177" s="8"/>
      <c r="H177" s="8"/>
      <c r="I177" s="8"/>
    </row>
    <row r="178" spans="1:9" x14ac:dyDescent="0.25">
      <c r="A178" s="4" t="s">
        <v>340</v>
      </c>
      <c r="B178" s="4" t="s">
        <v>1059</v>
      </c>
      <c r="C178" s="4" t="s">
        <v>77</v>
      </c>
      <c r="D178" s="16" t="s">
        <v>97</v>
      </c>
      <c r="E178" s="16" t="s">
        <v>98</v>
      </c>
      <c r="F178" s="3"/>
      <c r="G178" s="8"/>
      <c r="H178" s="8"/>
      <c r="I178" s="8"/>
    </row>
    <row r="179" spans="1:9" x14ac:dyDescent="0.25">
      <c r="A179" s="4" t="s">
        <v>340</v>
      </c>
      <c r="B179" s="4" t="s">
        <v>1059</v>
      </c>
      <c r="C179" s="4" t="s">
        <v>77</v>
      </c>
      <c r="D179" s="16" t="s">
        <v>99</v>
      </c>
      <c r="E179" s="16" t="s">
        <v>99</v>
      </c>
      <c r="F179" s="3"/>
      <c r="G179" s="8"/>
      <c r="H179" s="8"/>
      <c r="I179" s="8"/>
    </row>
    <row r="180" spans="1:9" x14ac:dyDescent="0.25">
      <c r="A180" s="4" t="s">
        <v>340</v>
      </c>
      <c r="B180" s="4" t="s">
        <v>1059</v>
      </c>
      <c r="C180" s="4" t="s">
        <v>77</v>
      </c>
      <c r="D180" s="16" t="s">
        <v>100</v>
      </c>
      <c r="E180" s="16" t="s">
        <v>101</v>
      </c>
      <c r="F180" s="3"/>
      <c r="G180" s="8"/>
      <c r="H180" s="8"/>
      <c r="I180" s="8"/>
    </row>
    <row r="181" spans="1:9" x14ac:dyDescent="0.25">
      <c r="A181" s="4" t="s">
        <v>340</v>
      </c>
      <c r="B181" s="4" t="s">
        <v>1059</v>
      </c>
      <c r="C181" s="4" t="s">
        <v>77</v>
      </c>
      <c r="D181" s="16" t="s">
        <v>102</v>
      </c>
      <c r="E181" s="16" t="s">
        <v>102</v>
      </c>
      <c r="F181" s="3"/>
      <c r="G181" s="8"/>
      <c r="H181" s="8"/>
      <c r="I181" s="8"/>
    </row>
    <row r="182" spans="1:9" x14ac:dyDescent="0.25">
      <c r="A182" s="4" t="s">
        <v>340</v>
      </c>
      <c r="B182" s="4" t="s">
        <v>1059</v>
      </c>
      <c r="C182" s="4" t="s">
        <v>77</v>
      </c>
      <c r="D182" s="16" t="s">
        <v>25</v>
      </c>
      <c r="E182" s="16" t="s">
        <v>333</v>
      </c>
      <c r="F182" s="3"/>
      <c r="G182" s="8"/>
      <c r="H182" s="8"/>
      <c r="I182" s="8"/>
    </row>
    <row r="183" spans="1:9" x14ac:dyDescent="0.25">
      <c r="A183" s="4" t="s">
        <v>340</v>
      </c>
      <c r="B183" s="4" t="s">
        <v>1059</v>
      </c>
      <c r="C183" s="4" t="s">
        <v>77</v>
      </c>
      <c r="D183" s="16" t="s">
        <v>103</v>
      </c>
      <c r="E183" s="16" t="s">
        <v>335</v>
      </c>
      <c r="F183" s="3"/>
      <c r="G183" s="8"/>
      <c r="H183" s="8"/>
      <c r="I183" s="8"/>
    </row>
    <row r="184" spans="1:9" x14ac:dyDescent="0.25">
      <c r="A184" s="4" t="s">
        <v>340</v>
      </c>
      <c r="B184" s="4" t="s">
        <v>1059</v>
      </c>
      <c r="C184" s="4" t="s">
        <v>77</v>
      </c>
      <c r="D184" s="16" t="s">
        <v>78</v>
      </c>
      <c r="E184" s="16" t="s">
        <v>79</v>
      </c>
      <c r="F184" s="16" t="s">
        <v>104</v>
      </c>
      <c r="G184" s="8"/>
      <c r="H184" s="8"/>
      <c r="I184" s="8"/>
    </row>
    <row r="185" spans="1:9" x14ac:dyDescent="0.25">
      <c r="A185" s="4" t="s">
        <v>340</v>
      </c>
      <c r="B185" s="4" t="s">
        <v>1059</v>
      </c>
      <c r="C185" s="4" t="s">
        <v>77</v>
      </c>
      <c r="D185" s="16" t="s">
        <v>93</v>
      </c>
      <c r="E185" s="16" t="s">
        <v>993</v>
      </c>
      <c r="F185" s="16" t="s">
        <v>104</v>
      </c>
      <c r="G185" s="8"/>
      <c r="H185" s="8"/>
      <c r="I185" s="8"/>
    </row>
    <row r="186" spans="1:9" x14ac:dyDescent="0.25">
      <c r="A186" s="4" t="s">
        <v>340</v>
      </c>
      <c r="B186" s="4" t="s">
        <v>1059</v>
      </c>
      <c r="C186" s="4" t="s">
        <v>77</v>
      </c>
      <c r="D186" s="16" t="s">
        <v>912</v>
      </c>
      <c r="E186" s="16" t="s">
        <v>79</v>
      </c>
      <c r="F186" s="16" t="s">
        <v>916</v>
      </c>
      <c r="G186" s="8"/>
      <c r="H186" s="8"/>
      <c r="I186" s="8"/>
    </row>
    <row r="187" spans="1:9" x14ac:dyDescent="0.25">
      <c r="A187" s="4" t="s">
        <v>340</v>
      </c>
      <c r="B187" s="4" t="s">
        <v>1059</v>
      </c>
      <c r="C187" s="4" t="s">
        <v>77</v>
      </c>
      <c r="D187" s="16" t="s">
        <v>914</v>
      </c>
      <c r="E187" s="16" t="s">
        <v>914</v>
      </c>
      <c r="F187" s="16" t="s">
        <v>916</v>
      </c>
      <c r="G187" s="8"/>
      <c r="H187" s="8"/>
      <c r="I187" s="8"/>
    </row>
    <row r="188" spans="1:9" x14ac:dyDescent="0.25">
      <c r="A188" s="4" t="s">
        <v>340</v>
      </c>
      <c r="B188" s="4" t="s">
        <v>1059</v>
      </c>
      <c r="C188" s="4" t="s">
        <v>77</v>
      </c>
      <c r="D188" s="16" t="s">
        <v>105</v>
      </c>
      <c r="E188" s="16" t="s">
        <v>105</v>
      </c>
      <c r="F188" s="3"/>
      <c r="G188" s="8"/>
      <c r="H188" s="8"/>
      <c r="I188" s="8"/>
    </row>
    <row r="189" spans="1:9" ht="30" x14ac:dyDescent="0.25">
      <c r="A189" s="4" t="s">
        <v>340</v>
      </c>
      <c r="B189" s="4" t="s">
        <v>1059</v>
      </c>
      <c r="C189" s="4" t="s">
        <v>95</v>
      </c>
      <c r="D189" s="16" t="s">
        <v>274</v>
      </c>
      <c r="E189" s="16" t="s">
        <v>81</v>
      </c>
      <c r="F189" s="3"/>
      <c r="G189" s="16" t="s">
        <v>29</v>
      </c>
      <c r="H189" s="16" t="s">
        <v>59</v>
      </c>
      <c r="I189" s="16" t="s">
        <v>188</v>
      </c>
    </row>
    <row r="190" spans="1:9" ht="30" x14ac:dyDescent="0.25">
      <c r="A190" s="4" t="s">
        <v>340</v>
      </c>
      <c r="B190" s="4" t="s">
        <v>1059</v>
      </c>
      <c r="C190" s="4" t="s">
        <v>96</v>
      </c>
      <c r="D190" s="16" t="s">
        <v>273</v>
      </c>
      <c r="E190" s="16" t="s">
        <v>81</v>
      </c>
      <c r="F190" s="16" t="s">
        <v>104</v>
      </c>
      <c r="G190" s="16" t="s">
        <v>7</v>
      </c>
      <c r="H190" s="16" t="s">
        <v>60</v>
      </c>
      <c r="I190" s="16" t="s">
        <v>189</v>
      </c>
    </row>
    <row r="191" spans="1:9" x14ac:dyDescent="0.25">
      <c r="A191" s="4" t="s">
        <v>340</v>
      </c>
      <c r="B191" s="4" t="s">
        <v>1059</v>
      </c>
      <c r="C191" s="4" t="s">
        <v>96</v>
      </c>
      <c r="D191" s="16" t="s">
        <v>989</v>
      </c>
      <c r="E191" s="16" t="s">
        <v>81</v>
      </c>
      <c r="F191" s="16" t="s">
        <v>916</v>
      </c>
      <c r="G191" s="16" t="s">
        <v>909</v>
      </c>
      <c r="H191" s="16" t="s">
        <v>911</v>
      </c>
      <c r="I191" s="16" t="s">
        <v>911</v>
      </c>
    </row>
    <row r="192" spans="1:9" x14ac:dyDescent="0.25">
      <c r="A192" s="4" t="s">
        <v>340</v>
      </c>
      <c r="B192" s="4" t="s">
        <v>1059</v>
      </c>
      <c r="C192" s="4" t="s">
        <v>96</v>
      </c>
      <c r="D192" s="16" t="s">
        <v>986</v>
      </c>
      <c r="E192" s="16" t="s">
        <v>845</v>
      </c>
      <c r="F192" s="16" t="s">
        <v>879</v>
      </c>
      <c r="G192" s="16" t="s">
        <v>836</v>
      </c>
      <c r="H192" s="16" t="s">
        <v>839</v>
      </c>
      <c r="I192" s="16" t="s">
        <v>839</v>
      </c>
    </row>
    <row r="193" spans="1:9" x14ac:dyDescent="0.25">
      <c r="A193" s="8"/>
      <c r="B193" s="8"/>
      <c r="C193" s="8"/>
      <c r="D193" s="8"/>
      <c r="E193" s="8"/>
      <c r="F193" s="8"/>
      <c r="G193" s="8"/>
      <c r="H193" s="8"/>
      <c r="I193" s="8"/>
    </row>
    <row r="194" spans="1:9" x14ac:dyDescent="0.25">
      <c r="A194" s="4" t="s">
        <v>340</v>
      </c>
      <c r="B194" s="4" t="s">
        <v>1060</v>
      </c>
      <c r="C194" s="4" t="s">
        <v>77</v>
      </c>
      <c r="D194" s="22" t="s">
        <v>749</v>
      </c>
      <c r="E194" s="22" t="s">
        <v>203</v>
      </c>
      <c r="F194" s="3"/>
      <c r="G194" s="8"/>
      <c r="H194" s="8"/>
      <c r="I194" s="8"/>
    </row>
    <row r="195" spans="1:9" x14ac:dyDescent="0.25">
      <c r="A195" s="4" t="s">
        <v>340</v>
      </c>
      <c r="B195" s="4" t="s">
        <v>1060</v>
      </c>
      <c r="C195" s="4" t="s">
        <v>77</v>
      </c>
      <c r="D195" s="22" t="s">
        <v>729</v>
      </c>
      <c r="E195" s="22" t="s">
        <v>203</v>
      </c>
      <c r="F195" s="3"/>
      <c r="G195" s="8"/>
      <c r="H195" s="8"/>
      <c r="I195" s="8"/>
    </row>
    <row r="196" spans="1:9" x14ac:dyDescent="0.25">
      <c r="A196" s="4" t="s">
        <v>340</v>
      </c>
      <c r="B196" s="4" t="s">
        <v>1060</v>
      </c>
      <c r="C196" s="4" t="s">
        <v>77</v>
      </c>
      <c r="D196" s="22" t="s">
        <v>750</v>
      </c>
      <c r="E196" s="22" t="s">
        <v>203</v>
      </c>
      <c r="F196" s="3"/>
      <c r="G196" s="8"/>
      <c r="H196" s="8"/>
      <c r="I196" s="8"/>
    </row>
    <row r="197" spans="1:9" x14ac:dyDescent="0.25">
      <c r="A197" s="4" t="s">
        <v>340</v>
      </c>
      <c r="B197" s="4" t="s">
        <v>1060</v>
      </c>
      <c r="C197" s="4" t="s">
        <v>77</v>
      </c>
      <c r="D197" s="22" t="s">
        <v>1031</v>
      </c>
      <c r="E197" s="22" t="s">
        <v>203</v>
      </c>
      <c r="F197" s="3"/>
      <c r="G197" s="8"/>
      <c r="H197" s="8"/>
      <c r="I197" s="8"/>
    </row>
    <row r="198" spans="1:9" x14ac:dyDescent="0.25">
      <c r="A198" s="4" t="s">
        <v>340</v>
      </c>
      <c r="B198" s="4" t="s">
        <v>1060</v>
      </c>
      <c r="C198" s="4" t="s">
        <v>77</v>
      </c>
      <c r="D198" s="22" t="s">
        <v>1032</v>
      </c>
      <c r="E198" s="22" t="s">
        <v>203</v>
      </c>
      <c r="F198" s="3"/>
      <c r="G198" s="8"/>
      <c r="H198" s="8"/>
      <c r="I198" s="8"/>
    </row>
    <row r="199" spans="1:9" x14ac:dyDescent="0.25">
      <c r="A199" s="4" t="s">
        <v>340</v>
      </c>
      <c r="B199" s="4" t="s">
        <v>1060</v>
      </c>
      <c r="C199" s="4" t="s">
        <v>77</v>
      </c>
      <c r="D199" s="22" t="s">
        <v>751</v>
      </c>
      <c r="E199" s="22" t="s">
        <v>203</v>
      </c>
      <c r="F199" s="3"/>
      <c r="G199" s="8"/>
      <c r="H199" s="8"/>
      <c r="I199" s="8"/>
    </row>
    <row r="200" spans="1:9" x14ac:dyDescent="0.25">
      <c r="A200" s="4" t="s">
        <v>340</v>
      </c>
      <c r="B200" s="4" t="s">
        <v>1060</v>
      </c>
      <c r="C200" s="4" t="s">
        <v>77</v>
      </c>
      <c r="D200" s="22" t="s">
        <v>752</v>
      </c>
      <c r="E200" s="22" t="s">
        <v>203</v>
      </c>
      <c r="F200" s="3"/>
      <c r="G200" s="8"/>
      <c r="H200" s="8"/>
      <c r="I200" s="8"/>
    </row>
    <row r="201" spans="1:9" x14ac:dyDescent="0.25">
      <c r="A201" s="4" t="s">
        <v>340</v>
      </c>
      <c r="B201" s="4" t="s">
        <v>1060</v>
      </c>
      <c r="C201" s="4" t="s">
        <v>77</v>
      </c>
      <c r="D201" s="22" t="s">
        <v>733</v>
      </c>
      <c r="E201" s="22" t="s">
        <v>203</v>
      </c>
      <c r="F201" s="3"/>
      <c r="G201" s="8"/>
      <c r="H201" s="8"/>
      <c r="I201" s="8"/>
    </row>
    <row r="202" spans="1:9" x14ac:dyDescent="0.25">
      <c r="A202" s="4" t="s">
        <v>340</v>
      </c>
      <c r="B202" s="4" t="s">
        <v>1060</v>
      </c>
      <c r="C202" s="4" t="s">
        <v>77</v>
      </c>
      <c r="D202" s="22" t="s">
        <v>1033</v>
      </c>
      <c r="E202" s="22" t="s">
        <v>203</v>
      </c>
      <c r="F202" s="3"/>
      <c r="G202" s="8"/>
      <c r="H202" s="8"/>
      <c r="I202" s="8"/>
    </row>
    <row r="203" spans="1:9" x14ac:dyDescent="0.25">
      <c r="A203" s="4" t="s">
        <v>340</v>
      </c>
      <c r="B203" s="4" t="s">
        <v>1060</v>
      </c>
      <c r="C203" s="4" t="s">
        <v>77</v>
      </c>
      <c r="D203" s="22" t="s">
        <v>753</v>
      </c>
      <c r="E203" s="22" t="s">
        <v>203</v>
      </c>
      <c r="F203" s="3"/>
      <c r="G203" s="8"/>
      <c r="H203" s="8"/>
      <c r="I203" s="8"/>
    </row>
    <row r="204" spans="1:9" x14ac:dyDescent="0.25">
      <c r="A204" s="4" t="s">
        <v>340</v>
      </c>
      <c r="B204" s="4" t="s">
        <v>1060</v>
      </c>
      <c r="C204" s="4" t="s">
        <v>77</v>
      </c>
      <c r="D204" s="22" t="s">
        <v>754</v>
      </c>
      <c r="E204" s="22" t="s">
        <v>203</v>
      </c>
      <c r="F204" s="3"/>
      <c r="G204" s="8"/>
      <c r="H204" s="8"/>
      <c r="I204" s="8"/>
    </row>
    <row r="205" spans="1:9" x14ac:dyDescent="0.25">
      <c r="A205" s="4" t="s">
        <v>340</v>
      </c>
      <c r="B205" s="4" t="s">
        <v>1060</v>
      </c>
      <c r="C205" s="4" t="s">
        <v>77</v>
      </c>
      <c r="D205" s="22" t="s">
        <v>878</v>
      </c>
      <c r="E205" s="22" t="s">
        <v>203</v>
      </c>
      <c r="F205" s="3"/>
      <c r="G205" s="8"/>
      <c r="H205" s="8"/>
      <c r="I205" s="8"/>
    </row>
    <row r="206" spans="1:9" x14ac:dyDescent="0.25">
      <c r="A206" s="4" t="s">
        <v>340</v>
      </c>
      <c r="B206" s="4" t="s">
        <v>1060</v>
      </c>
      <c r="C206" s="4" t="s">
        <v>77</v>
      </c>
      <c r="D206" s="22" t="s">
        <v>946</v>
      </c>
      <c r="E206" s="22" t="s">
        <v>203</v>
      </c>
      <c r="F206" s="3"/>
      <c r="G206" s="8"/>
      <c r="H206" s="8"/>
      <c r="I206" s="8"/>
    </row>
    <row r="207" spans="1:9" x14ac:dyDescent="0.25">
      <c r="A207" s="4" t="s">
        <v>340</v>
      </c>
      <c r="B207" s="4" t="s">
        <v>1060</v>
      </c>
      <c r="C207" s="4" t="s">
        <v>77</v>
      </c>
      <c r="D207" s="16" t="s">
        <v>477</v>
      </c>
      <c r="E207" s="16" t="s">
        <v>477</v>
      </c>
      <c r="F207" s="3"/>
      <c r="G207" s="8"/>
      <c r="H207" s="8"/>
      <c r="I207" s="8"/>
    </row>
    <row r="208" spans="1:9" x14ac:dyDescent="0.25">
      <c r="A208" s="4" t="s">
        <v>340</v>
      </c>
      <c r="B208" s="4" t="s">
        <v>1060</v>
      </c>
      <c r="C208" s="4" t="s">
        <v>77</v>
      </c>
      <c r="D208" s="16" t="s">
        <v>84</v>
      </c>
      <c r="E208" s="16" t="s">
        <v>81</v>
      </c>
      <c r="F208" s="3"/>
      <c r="G208" s="8"/>
      <c r="H208" s="8"/>
      <c r="I208" s="8"/>
    </row>
    <row r="209" spans="1:9" x14ac:dyDescent="0.25">
      <c r="A209" s="4" t="s">
        <v>340</v>
      </c>
      <c r="B209" s="4" t="s">
        <v>1060</v>
      </c>
      <c r="C209" s="4" t="s">
        <v>77</v>
      </c>
      <c r="D209" s="16" t="s">
        <v>82</v>
      </c>
      <c r="E209" s="16" t="s">
        <v>79</v>
      </c>
      <c r="F209" s="3"/>
      <c r="G209" s="8"/>
      <c r="H209" s="8"/>
      <c r="I209" s="8"/>
    </row>
    <row r="210" spans="1:9" x14ac:dyDescent="0.25">
      <c r="A210" s="4" t="s">
        <v>340</v>
      </c>
      <c r="B210" s="4" t="s">
        <v>1060</v>
      </c>
      <c r="C210" s="4" t="s">
        <v>77</v>
      </c>
      <c r="D210" s="16" t="s">
        <v>85</v>
      </c>
      <c r="E210" s="16" t="s">
        <v>85</v>
      </c>
      <c r="F210" s="3"/>
      <c r="G210" s="8"/>
      <c r="H210" s="8"/>
      <c r="I210" s="8"/>
    </row>
    <row r="211" spans="1:9" x14ac:dyDescent="0.25">
      <c r="A211" s="4" t="s">
        <v>340</v>
      </c>
      <c r="B211" s="4" t="s">
        <v>1060</v>
      </c>
      <c r="C211" s="4" t="s">
        <v>77</v>
      </c>
      <c r="D211" s="16" t="s">
        <v>86</v>
      </c>
      <c r="E211" s="16" t="s">
        <v>87</v>
      </c>
      <c r="F211" s="3"/>
      <c r="G211" s="8"/>
      <c r="H211" s="8"/>
      <c r="I211" s="8"/>
    </row>
    <row r="212" spans="1:9" x14ac:dyDescent="0.25">
      <c r="A212" s="4" t="s">
        <v>340</v>
      </c>
      <c r="B212" s="4" t="s">
        <v>1060</v>
      </c>
      <c r="C212" s="4" t="s">
        <v>77</v>
      </c>
      <c r="D212" s="16" t="s">
        <v>88</v>
      </c>
      <c r="E212" s="16" t="s">
        <v>88</v>
      </c>
      <c r="F212" s="3"/>
      <c r="G212" s="8"/>
      <c r="H212" s="8"/>
      <c r="I212" s="8"/>
    </row>
    <row r="213" spans="1:9" x14ac:dyDescent="0.25">
      <c r="A213" s="4" t="s">
        <v>340</v>
      </c>
      <c r="B213" s="4" t="s">
        <v>1060</v>
      </c>
      <c r="C213" s="4" t="s">
        <v>77</v>
      </c>
      <c r="D213" s="16" t="s">
        <v>97</v>
      </c>
      <c r="E213" s="16" t="s">
        <v>98</v>
      </c>
      <c r="F213" s="3"/>
      <c r="G213" s="8"/>
      <c r="H213" s="8"/>
      <c r="I213" s="8"/>
    </row>
    <row r="214" spans="1:9" x14ac:dyDescent="0.25">
      <c r="A214" s="4" t="s">
        <v>340</v>
      </c>
      <c r="B214" s="4" t="s">
        <v>1060</v>
      </c>
      <c r="C214" s="4" t="s">
        <v>77</v>
      </c>
      <c r="D214" s="16" t="s">
        <v>99</v>
      </c>
      <c r="E214" s="16" t="s">
        <v>99</v>
      </c>
      <c r="F214" s="3"/>
      <c r="G214" s="8"/>
      <c r="H214" s="8"/>
      <c r="I214" s="8"/>
    </row>
    <row r="215" spans="1:9" x14ac:dyDescent="0.25">
      <c r="A215" s="4" t="s">
        <v>340</v>
      </c>
      <c r="B215" s="4" t="s">
        <v>1060</v>
      </c>
      <c r="C215" s="4" t="s">
        <v>77</v>
      </c>
      <c r="D215" s="16" t="s">
        <v>100</v>
      </c>
      <c r="E215" s="16" t="s">
        <v>101</v>
      </c>
      <c r="F215" s="3"/>
      <c r="G215" s="8"/>
      <c r="H215" s="8"/>
      <c r="I215" s="8"/>
    </row>
    <row r="216" spans="1:9" x14ac:dyDescent="0.25">
      <c r="A216" s="4" t="s">
        <v>340</v>
      </c>
      <c r="B216" s="4" t="s">
        <v>1060</v>
      </c>
      <c r="C216" s="4" t="s">
        <v>77</v>
      </c>
      <c r="D216" s="16" t="s">
        <v>102</v>
      </c>
      <c r="E216" s="16" t="s">
        <v>102</v>
      </c>
      <c r="F216" s="3"/>
      <c r="G216" s="8"/>
      <c r="H216" s="8"/>
      <c r="I216" s="8"/>
    </row>
    <row r="217" spans="1:9" x14ac:dyDescent="0.25">
      <c r="A217" s="4" t="s">
        <v>340</v>
      </c>
      <c r="B217" s="4" t="s">
        <v>1060</v>
      </c>
      <c r="C217" s="4" t="s">
        <v>77</v>
      </c>
      <c r="D217" s="16" t="s">
        <v>25</v>
      </c>
      <c r="E217" s="16" t="s">
        <v>333</v>
      </c>
      <c r="F217" s="3"/>
      <c r="G217" s="8"/>
      <c r="H217" s="8"/>
      <c r="I217" s="8"/>
    </row>
    <row r="218" spans="1:9" x14ac:dyDescent="0.25">
      <c r="A218" s="4" t="s">
        <v>340</v>
      </c>
      <c r="B218" s="4" t="s">
        <v>1060</v>
      </c>
      <c r="C218" s="4" t="s">
        <v>77</v>
      </c>
      <c r="D218" s="16" t="s">
        <v>103</v>
      </c>
      <c r="E218" s="16" t="s">
        <v>335</v>
      </c>
      <c r="F218" s="3"/>
      <c r="G218" s="8"/>
      <c r="H218" s="8"/>
      <c r="I218" s="8"/>
    </row>
    <row r="219" spans="1:9" x14ac:dyDescent="0.25">
      <c r="A219" s="4" t="s">
        <v>340</v>
      </c>
      <c r="B219" s="4" t="s">
        <v>1060</v>
      </c>
      <c r="C219" s="4" t="s">
        <v>77</v>
      </c>
      <c r="D219" s="16" t="s">
        <v>1063</v>
      </c>
      <c r="E219" s="16" t="s">
        <v>1061</v>
      </c>
      <c r="F219" s="16" t="s">
        <v>104</v>
      </c>
      <c r="G219" s="8"/>
      <c r="H219" s="8"/>
      <c r="I219" s="8"/>
    </row>
    <row r="220" spans="1:9" x14ac:dyDescent="0.25">
      <c r="A220" s="4" t="s">
        <v>340</v>
      </c>
      <c r="B220" s="4" t="s">
        <v>1060</v>
      </c>
      <c r="C220" s="4" t="s">
        <v>77</v>
      </c>
      <c r="D220" s="16" t="s">
        <v>1064</v>
      </c>
      <c r="E220" s="16" t="s">
        <v>1062</v>
      </c>
      <c r="F220" s="16" t="s">
        <v>916</v>
      </c>
      <c r="G220" s="8"/>
      <c r="H220" s="8"/>
      <c r="I220" s="8"/>
    </row>
    <row r="221" spans="1:9" x14ac:dyDescent="0.25">
      <c r="A221" s="4" t="s">
        <v>340</v>
      </c>
      <c r="B221" s="4" t="s">
        <v>1060</v>
      </c>
      <c r="C221" s="4" t="s">
        <v>77</v>
      </c>
      <c r="D221" s="16" t="s">
        <v>105</v>
      </c>
      <c r="E221" s="16" t="s">
        <v>105</v>
      </c>
      <c r="F221" s="3"/>
      <c r="G221" s="8"/>
      <c r="H221" s="8"/>
      <c r="I221" s="8"/>
    </row>
    <row r="222" spans="1:9" ht="30" x14ac:dyDescent="0.25">
      <c r="A222" s="4" t="s">
        <v>340</v>
      </c>
      <c r="B222" s="4" t="s">
        <v>1060</v>
      </c>
      <c r="C222" s="4" t="s">
        <v>95</v>
      </c>
      <c r="D222" s="16" t="s">
        <v>274</v>
      </c>
      <c r="E222" s="16" t="s">
        <v>81</v>
      </c>
      <c r="F222" s="3"/>
      <c r="G222" s="16" t="s">
        <v>29</v>
      </c>
      <c r="H222" s="16" t="s">
        <v>59</v>
      </c>
      <c r="I222" s="16" t="s">
        <v>188</v>
      </c>
    </row>
    <row r="223" spans="1:9" ht="30" x14ac:dyDescent="0.25">
      <c r="A223" s="4" t="s">
        <v>340</v>
      </c>
      <c r="B223" s="4" t="s">
        <v>1060</v>
      </c>
      <c r="C223" s="4" t="s">
        <v>96</v>
      </c>
      <c r="D223" s="16" t="s">
        <v>273</v>
      </c>
      <c r="E223" s="16" t="s">
        <v>81</v>
      </c>
      <c r="F223" s="16" t="s">
        <v>104</v>
      </c>
      <c r="G223" s="16" t="s">
        <v>7</v>
      </c>
      <c r="H223" s="16" t="s">
        <v>60</v>
      </c>
      <c r="I223" s="16" t="s">
        <v>189</v>
      </c>
    </row>
    <row r="224" spans="1:9" x14ac:dyDescent="0.25">
      <c r="A224" s="4" t="s">
        <v>340</v>
      </c>
      <c r="B224" s="4" t="s">
        <v>1060</v>
      </c>
      <c r="C224" s="4" t="s">
        <v>96</v>
      </c>
      <c r="D224" s="16" t="s">
        <v>989</v>
      </c>
      <c r="E224" s="16" t="s">
        <v>81</v>
      </c>
      <c r="F224" s="16" t="s">
        <v>916</v>
      </c>
      <c r="G224" s="16" t="s">
        <v>909</v>
      </c>
      <c r="H224" s="16" t="s">
        <v>911</v>
      </c>
      <c r="I224" s="16" t="s">
        <v>911</v>
      </c>
    </row>
    <row r="225" spans="1:9" x14ac:dyDescent="0.25">
      <c r="A225" s="4" t="s">
        <v>340</v>
      </c>
      <c r="B225" s="4" t="s">
        <v>1060</v>
      </c>
      <c r="C225" s="4" t="s">
        <v>96</v>
      </c>
      <c r="D225" s="16" t="s">
        <v>986</v>
      </c>
      <c r="E225" s="16" t="s">
        <v>845</v>
      </c>
      <c r="F225" s="16" t="s">
        <v>879</v>
      </c>
      <c r="G225" s="16" t="s">
        <v>836</v>
      </c>
      <c r="H225" s="16" t="s">
        <v>839</v>
      </c>
      <c r="I225" s="16" t="s">
        <v>839</v>
      </c>
    </row>
    <row r="226" spans="1:9" x14ac:dyDescent="0.25">
      <c r="A226" s="8"/>
      <c r="B226" s="8"/>
      <c r="C226" s="8"/>
      <c r="D226" s="8"/>
      <c r="E226" s="8"/>
      <c r="F226" s="8"/>
      <c r="G226" s="8"/>
      <c r="H226" s="8"/>
      <c r="I226" s="8"/>
    </row>
    <row r="227" spans="1:9" x14ac:dyDescent="0.25">
      <c r="A227" s="4" t="s">
        <v>340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340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340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340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340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340</v>
      </c>
      <c r="B232" s="4" t="s">
        <v>353</v>
      </c>
      <c r="C232" s="4" t="s">
        <v>77</v>
      </c>
      <c r="D232" s="16" t="s">
        <v>99</v>
      </c>
      <c r="E232" s="16" t="s">
        <v>99</v>
      </c>
      <c r="F232" s="3"/>
      <c r="G232" s="8"/>
      <c r="H232" s="8"/>
      <c r="I232" s="8"/>
    </row>
    <row r="233" spans="1:9" x14ac:dyDescent="0.25">
      <c r="A233" s="4" t="s">
        <v>340</v>
      </c>
      <c r="B233" s="4" t="s">
        <v>353</v>
      </c>
      <c r="C233" s="4" t="s">
        <v>77</v>
      </c>
      <c r="D233" s="16" t="s">
        <v>100</v>
      </c>
      <c r="E233" s="16" t="s">
        <v>101</v>
      </c>
      <c r="F233" s="3"/>
      <c r="G233" s="8"/>
      <c r="H233" s="8"/>
      <c r="I233" s="8"/>
    </row>
    <row r="234" spans="1:9" x14ac:dyDescent="0.25">
      <c r="A234" s="4" t="s">
        <v>340</v>
      </c>
      <c r="B234" s="4" t="s">
        <v>353</v>
      </c>
      <c r="C234" s="4" t="s">
        <v>77</v>
      </c>
      <c r="D234" s="16" t="s">
        <v>102</v>
      </c>
      <c r="E234" s="16" t="s">
        <v>102</v>
      </c>
      <c r="F234" s="3"/>
      <c r="G234" s="8"/>
      <c r="H234" s="8"/>
      <c r="I234" s="8"/>
    </row>
    <row r="235" spans="1:9" ht="30" x14ac:dyDescent="0.25">
      <c r="A235" s="4" t="s">
        <v>340</v>
      </c>
      <c r="B235" s="4" t="s">
        <v>353</v>
      </c>
      <c r="C235" s="4" t="s">
        <v>77</v>
      </c>
      <c r="D235" s="16" t="s">
        <v>354</v>
      </c>
      <c r="E235" s="16" t="s">
        <v>79</v>
      </c>
      <c r="F235" s="16" t="s">
        <v>104</v>
      </c>
      <c r="G235" s="8"/>
      <c r="H235" s="8"/>
      <c r="I235" s="8"/>
    </row>
    <row r="236" spans="1:9" x14ac:dyDescent="0.25">
      <c r="A236" s="4" t="s">
        <v>340</v>
      </c>
      <c r="B236" s="4" t="s">
        <v>353</v>
      </c>
      <c r="C236" s="4" t="s">
        <v>77</v>
      </c>
      <c r="D236" s="16" t="s">
        <v>107</v>
      </c>
      <c r="E236" s="16" t="s">
        <v>89</v>
      </c>
      <c r="F236" s="3"/>
      <c r="G236" s="8"/>
      <c r="H236" s="8"/>
      <c r="I236" s="8"/>
    </row>
    <row r="237" spans="1:9" x14ac:dyDescent="0.25">
      <c r="A237" s="4" t="s">
        <v>340</v>
      </c>
      <c r="B237" s="4" t="s">
        <v>353</v>
      </c>
      <c r="C237" s="4" t="s">
        <v>77</v>
      </c>
      <c r="D237" s="16" t="s">
        <v>355</v>
      </c>
      <c r="E237" s="16" t="s">
        <v>355</v>
      </c>
      <c r="F237" s="3"/>
      <c r="G237" s="8"/>
      <c r="H237" s="8"/>
      <c r="I237" s="8"/>
    </row>
    <row r="238" spans="1:9" x14ac:dyDescent="0.25">
      <c r="A238" s="4" t="s">
        <v>340</v>
      </c>
      <c r="B238" s="4" t="s">
        <v>353</v>
      </c>
      <c r="C238" s="4" t="s">
        <v>77</v>
      </c>
      <c r="D238" s="16" t="s">
        <v>356</v>
      </c>
      <c r="E238" s="16" t="s">
        <v>356</v>
      </c>
      <c r="F238" s="3"/>
      <c r="G238" s="8"/>
      <c r="H238" s="8"/>
      <c r="I238" s="8"/>
    </row>
    <row r="239" spans="1:9" x14ac:dyDescent="0.25">
      <c r="A239" s="4" t="s">
        <v>340</v>
      </c>
      <c r="B239" s="4" t="s">
        <v>353</v>
      </c>
      <c r="C239" s="4" t="s">
        <v>77</v>
      </c>
      <c r="D239" s="16" t="s">
        <v>357</v>
      </c>
      <c r="E239" s="16" t="s">
        <v>357</v>
      </c>
      <c r="F239" s="3"/>
      <c r="G239" s="8"/>
      <c r="H239" s="8"/>
      <c r="I239" s="8"/>
    </row>
    <row r="240" spans="1:9" x14ac:dyDescent="0.25">
      <c r="A240" s="4" t="s">
        <v>340</v>
      </c>
      <c r="B240" s="4" t="s">
        <v>353</v>
      </c>
      <c r="C240" s="4" t="s">
        <v>77</v>
      </c>
      <c r="D240" s="16" t="s">
        <v>358</v>
      </c>
      <c r="E240" s="16" t="s">
        <v>358</v>
      </c>
      <c r="F240" s="3"/>
      <c r="G240" s="8"/>
      <c r="H240" s="8"/>
      <c r="I240" s="8"/>
    </row>
    <row r="241" spans="1:9" x14ac:dyDescent="0.25">
      <c r="A241" s="4" t="s">
        <v>340</v>
      </c>
      <c r="B241" s="4" t="s">
        <v>353</v>
      </c>
      <c r="C241" s="4" t="s">
        <v>77</v>
      </c>
      <c r="D241" s="16" t="s">
        <v>359</v>
      </c>
      <c r="E241" s="16" t="s">
        <v>359</v>
      </c>
      <c r="F241" s="3"/>
      <c r="G241" s="8"/>
      <c r="H241" s="8"/>
      <c r="I241" s="8"/>
    </row>
    <row r="242" spans="1:9" x14ac:dyDescent="0.25">
      <c r="A242" s="4" t="s">
        <v>340</v>
      </c>
      <c r="B242" s="4" t="s">
        <v>353</v>
      </c>
      <c r="C242" s="4" t="s">
        <v>77</v>
      </c>
      <c r="D242" s="16" t="s">
        <v>360</v>
      </c>
      <c r="E242" s="16" t="s">
        <v>360</v>
      </c>
      <c r="F242" s="3"/>
      <c r="G242" s="8"/>
      <c r="H242" s="8"/>
      <c r="I242" s="8"/>
    </row>
    <row r="243" spans="1:9" x14ac:dyDescent="0.25">
      <c r="A243" s="4" t="s">
        <v>340</v>
      </c>
      <c r="B243" s="4" t="s">
        <v>353</v>
      </c>
      <c r="C243" s="4" t="s">
        <v>77</v>
      </c>
      <c r="D243" s="16" t="s">
        <v>361</v>
      </c>
      <c r="E243" s="16" t="s">
        <v>361</v>
      </c>
      <c r="F243" s="3"/>
      <c r="G243" s="8"/>
      <c r="H243" s="8"/>
      <c r="I243" s="8"/>
    </row>
    <row r="244" spans="1:9" ht="30" x14ac:dyDescent="0.25">
      <c r="A244" s="4" t="s">
        <v>340</v>
      </c>
      <c r="B244" s="4" t="s">
        <v>353</v>
      </c>
      <c r="C244" s="4" t="s">
        <v>95</v>
      </c>
      <c r="D244" s="16" t="e">
        <f>I244&amp;".txt"</f>
        <v>#REF!</v>
      </c>
      <c r="E244" s="16" t="s">
        <v>81</v>
      </c>
      <c r="F244" s="3"/>
      <c r="G244" s="16" t="s">
        <v>29</v>
      </c>
      <c r="H244" s="16" t="s">
        <v>59</v>
      </c>
      <c r="I244" s="16" t="e">
        <f>VLOOKUP(A244&amp;G244&amp;H244,#REF!,2,FALSE)</f>
        <v>#REF!</v>
      </c>
    </row>
    <row r="245" spans="1:9" ht="30" x14ac:dyDescent="0.25">
      <c r="A245" s="4" t="s">
        <v>340</v>
      </c>
      <c r="B245" s="4" t="s">
        <v>353</v>
      </c>
      <c r="C245" s="4" t="s">
        <v>96</v>
      </c>
      <c r="D245" s="16" t="e">
        <f>I245&amp;".txt"</f>
        <v>#REF!</v>
      </c>
      <c r="E245" s="16" t="s">
        <v>81</v>
      </c>
      <c r="F245" s="16" t="s">
        <v>104</v>
      </c>
      <c r="G245" s="16" t="s">
        <v>7</v>
      </c>
      <c r="H245" s="16" t="s">
        <v>60</v>
      </c>
      <c r="I245" s="16" t="e">
        <f>VLOOKUP(A245&amp;G245&amp;H245,#REF!,2,FALSE)</f>
        <v>#REF!</v>
      </c>
    </row>
    <row r="246" spans="1:9" x14ac:dyDescent="0.25">
      <c r="A246" s="4"/>
      <c r="B246" s="4"/>
      <c r="C246" s="4"/>
      <c r="D246" s="4"/>
      <c r="E246" s="4"/>
      <c r="F246" s="4"/>
      <c r="G246" s="8"/>
      <c r="H246" s="8"/>
      <c r="I246" s="8"/>
    </row>
    <row r="247" spans="1:9" x14ac:dyDescent="0.25">
      <c r="A247" s="4" t="s">
        <v>340</v>
      </c>
      <c r="B247" s="4" t="s">
        <v>7</v>
      </c>
      <c r="C247" s="4" t="s">
        <v>77</v>
      </c>
      <c r="D247" s="22" t="s">
        <v>997</v>
      </c>
      <c r="E247" s="22" t="s">
        <v>203</v>
      </c>
      <c r="F247" s="16"/>
      <c r="G247" s="8"/>
      <c r="H247" s="8"/>
      <c r="I247" s="8"/>
    </row>
    <row r="248" spans="1:9" x14ac:dyDescent="0.25">
      <c r="A248" s="4" t="s">
        <v>340</v>
      </c>
      <c r="B248" s="4" t="s">
        <v>7</v>
      </c>
      <c r="C248" s="4" t="s">
        <v>77</v>
      </c>
      <c r="D248" s="22" t="s">
        <v>905</v>
      </c>
      <c r="E248" s="22" t="s">
        <v>203</v>
      </c>
      <c r="F248" s="16"/>
      <c r="G248" s="8"/>
      <c r="H248" s="8"/>
      <c r="I248" s="8"/>
    </row>
    <row r="249" spans="1:9" x14ac:dyDescent="0.25">
      <c r="A249" s="4" t="s">
        <v>340</v>
      </c>
      <c r="B249" s="4" t="s">
        <v>7</v>
      </c>
      <c r="C249" s="4" t="s">
        <v>77</v>
      </c>
      <c r="D249" s="22" t="s">
        <v>998</v>
      </c>
      <c r="E249" s="22" t="s">
        <v>203</v>
      </c>
      <c r="F249" s="16"/>
      <c r="G249" s="8"/>
      <c r="H249" s="8"/>
      <c r="I249" s="8"/>
    </row>
    <row r="250" spans="1:9" x14ac:dyDescent="0.25">
      <c r="A250" s="4" t="s">
        <v>340</v>
      </c>
      <c r="B250" s="4" t="s">
        <v>7</v>
      </c>
      <c r="C250" s="4" t="s">
        <v>77</v>
      </c>
      <c r="D250" s="22" t="s">
        <v>906</v>
      </c>
      <c r="E250" s="22" t="s">
        <v>203</v>
      </c>
      <c r="F250" s="16"/>
      <c r="G250" s="8"/>
      <c r="H250" s="8"/>
      <c r="I250" s="8"/>
    </row>
    <row r="251" spans="1:9" x14ac:dyDescent="0.25">
      <c r="A251" s="4" t="s">
        <v>340</v>
      </c>
      <c r="B251" s="4" t="s">
        <v>7</v>
      </c>
      <c r="C251" s="4" t="s">
        <v>77</v>
      </c>
      <c r="D251" s="22" t="s">
        <v>907</v>
      </c>
      <c r="E251" s="22" t="s">
        <v>203</v>
      </c>
      <c r="F251" s="16"/>
      <c r="G251" s="8"/>
      <c r="H251" s="8"/>
      <c r="I251" s="8"/>
    </row>
    <row r="252" spans="1:9" x14ac:dyDescent="0.25">
      <c r="A252" s="4" t="s">
        <v>340</v>
      </c>
      <c r="B252" s="4" t="s">
        <v>7</v>
      </c>
      <c r="C252" s="4" t="s">
        <v>77</v>
      </c>
      <c r="D252" s="22" t="s">
        <v>999</v>
      </c>
      <c r="E252" s="22" t="s">
        <v>203</v>
      </c>
      <c r="F252" s="16"/>
      <c r="G252" s="8"/>
      <c r="H252" s="8"/>
      <c r="I252" s="8"/>
    </row>
    <row r="253" spans="1:9" x14ac:dyDescent="0.25">
      <c r="A253" s="4" t="s">
        <v>340</v>
      </c>
      <c r="B253" s="4" t="s">
        <v>7</v>
      </c>
      <c r="C253" s="4" t="s">
        <v>77</v>
      </c>
      <c r="D253" s="22" t="s">
        <v>908</v>
      </c>
      <c r="E253" s="22" t="s">
        <v>203</v>
      </c>
      <c r="F253" s="16"/>
      <c r="G253" s="8"/>
      <c r="H253" s="8"/>
      <c r="I253" s="8"/>
    </row>
    <row r="254" spans="1:9" x14ac:dyDescent="0.25">
      <c r="A254" s="4" t="s">
        <v>340</v>
      </c>
      <c r="B254" s="4" t="s">
        <v>7</v>
      </c>
      <c r="C254" s="4" t="s">
        <v>77</v>
      </c>
      <c r="D254" s="22" t="s">
        <v>1000</v>
      </c>
      <c r="E254" s="22" t="s">
        <v>203</v>
      </c>
      <c r="F254" s="16"/>
      <c r="G254" s="8"/>
      <c r="H254" s="8"/>
      <c r="I254" s="8"/>
    </row>
    <row r="255" spans="1:9" x14ac:dyDescent="0.25">
      <c r="A255" s="4" t="s">
        <v>340</v>
      </c>
      <c r="B255" s="4" t="s">
        <v>7</v>
      </c>
      <c r="C255" s="4" t="s">
        <v>77</v>
      </c>
      <c r="D255" s="22" t="s">
        <v>900</v>
      </c>
      <c r="E255" s="22" t="s">
        <v>203</v>
      </c>
      <c r="F255" s="16"/>
      <c r="G255" s="8"/>
      <c r="H255" s="8"/>
      <c r="I255" s="8"/>
    </row>
    <row r="256" spans="1:9" x14ac:dyDescent="0.25">
      <c r="A256" s="4" t="s">
        <v>340</v>
      </c>
      <c r="B256" s="4" t="s">
        <v>7</v>
      </c>
      <c r="C256" s="4" t="s">
        <v>77</v>
      </c>
      <c r="D256" s="22" t="s">
        <v>1001</v>
      </c>
      <c r="E256" s="22" t="s">
        <v>203</v>
      </c>
      <c r="F256" s="16"/>
      <c r="G256" s="8"/>
      <c r="H256" s="8"/>
      <c r="I256" s="8"/>
    </row>
    <row r="257" spans="1:9" x14ac:dyDescent="0.25">
      <c r="A257" s="4" t="s">
        <v>340</v>
      </c>
      <c r="B257" s="4" t="s">
        <v>7</v>
      </c>
      <c r="C257" s="4" t="s">
        <v>77</v>
      </c>
      <c r="D257" s="22" t="s">
        <v>1002</v>
      </c>
      <c r="E257" s="22" t="s">
        <v>203</v>
      </c>
      <c r="F257" s="16"/>
      <c r="G257" s="8"/>
      <c r="H257" s="8"/>
      <c r="I257" s="8"/>
    </row>
    <row r="258" spans="1:9" x14ac:dyDescent="0.25">
      <c r="A258" s="4" t="s">
        <v>340</v>
      </c>
      <c r="B258" s="4" t="s">
        <v>7</v>
      </c>
      <c r="C258" s="4" t="s">
        <v>77</v>
      </c>
      <c r="D258" s="16" t="s">
        <v>78</v>
      </c>
      <c r="E258" s="16" t="s">
        <v>79</v>
      </c>
      <c r="F258" s="16"/>
      <c r="G258" s="8"/>
      <c r="H258" s="8"/>
      <c r="I258" s="8"/>
    </row>
    <row r="259" spans="1:9" x14ac:dyDescent="0.25">
      <c r="A259" s="4" t="s">
        <v>340</v>
      </c>
      <c r="B259" s="4" t="s">
        <v>7</v>
      </c>
      <c r="C259" s="4" t="s">
        <v>77</v>
      </c>
      <c r="D259" s="16" t="s">
        <v>901</v>
      </c>
      <c r="E259" s="16" t="s">
        <v>901</v>
      </c>
      <c r="F259" s="16"/>
      <c r="G259" s="8"/>
      <c r="H259" s="8"/>
      <c r="I259" s="8"/>
    </row>
    <row r="260" spans="1:9" x14ac:dyDescent="0.25">
      <c r="A260" s="4" t="s">
        <v>340</v>
      </c>
      <c r="B260" s="4" t="s">
        <v>7</v>
      </c>
      <c r="C260" s="4" t="s">
        <v>77</v>
      </c>
      <c r="D260" s="16" t="s">
        <v>477</v>
      </c>
      <c r="E260" s="16" t="s">
        <v>477</v>
      </c>
      <c r="F260" s="16"/>
      <c r="G260" s="8"/>
      <c r="H260" s="8"/>
      <c r="I260" s="8"/>
    </row>
    <row r="261" spans="1:9" x14ac:dyDescent="0.25">
      <c r="A261" s="4" t="s">
        <v>340</v>
      </c>
      <c r="B261" s="4" t="s">
        <v>7</v>
      </c>
      <c r="C261" s="4" t="s">
        <v>77</v>
      </c>
      <c r="D261" s="16" t="s">
        <v>80</v>
      </c>
      <c r="E261" s="16" t="s">
        <v>81</v>
      </c>
      <c r="F261" s="16"/>
      <c r="G261" s="8"/>
      <c r="H261" s="8"/>
      <c r="I261" s="8"/>
    </row>
    <row r="262" spans="1:9" x14ac:dyDescent="0.25">
      <c r="A262" s="4" t="s">
        <v>340</v>
      </c>
      <c r="B262" s="4" t="s">
        <v>7</v>
      </c>
      <c r="C262" s="4" t="s">
        <v>77</v>
      </c>
      <c r="D262" s="16" t="s">
        <v>82</v>
      </c>
      <c r="E262" s="16" t="s">
        <v>79</v>
      </c>
      <c r="F262" s="16" t="s">
        <v>83</v>
      </c>
      <c r="G262" s="8"/>
      <c r="H262" s="8"/>
      <c r="I262" s="8"/>
    </row>
    <row r="263" spans="1:9" x14ac:dyDescent="0.25">
      <c r="A263" s="4" t="s">
        <v>340</v>
      </c>
      <c r="B263" s="4" t="s">
        <v>7</v>
      </c>
      <c r="C263" s="4" t="s">
        <v>77</v>
      </c>
      <c r="D263" s="16" t="s">
        <v>84</v>
      </c>
      <c r="E263" s="16" t="s">
        <v>81</v>
      </c>
      <c r="F263" s="16" t="s">
        <v>83</v>
      </c>
      <c r="G263" s="8"/>
      <c r="H263" s="8"/>
      <c r="I263" s="8"/>
    </row>
    <row r="264" spans="1:9" x14ac:dyDescent="0.25">
      <c r="A264" s="4" t="s">
        <v>340</v>
      </c>
      <c r="B264" s="4" t="s">
        <v>7</v>
      </c>
      <c r="C264" s="4" t="s">
        <v>77</v>
      </c>
      <c r="D264" s="16" t="s">
        <v>85</v>
      </c>
      <c r="E264" s="16" t="s">
        <v>85</v>
      </c>
      <c r="F264" s="16" t="s">
        <v>83</v>
      </c>
      <c r="G264" s="8"/>
      <c r="H264" s="8"/>
      <c r="I264" s="8"/>
    </row>
    <row r="265" spans="1:9" x14ac:dyDescent="0.25">
      <c r="A265" s="4" t="s">
        <v>340</v>
      </c>
      <c r="B265" s="4" t="s">
        <v>7</v>
      </c>
      <c r="C265" s="4" t="s">
        <v>77</v>
      </c>
      <c r="D265" s="16" t="s">
        <v>86</v>
      </c>
      <c r="E265" s="16" t="s">
        <v>87</v>
      </c>
      <c r="F265" s="16" t="s">
        <v>83</v>
      </c>
      <c r="G265" s="8"/>
      <c r="H265" s="8"/>
      <c r="I265" s="8"/>
    </row>
    <row r="266" spans="1:9" x14ac:dyDescent="0.25">
      <c r="A266" s="4" t="s">
        <v>340</v>
      </c>
      <c r="B266" s="4" t="s">
        <v>7</v>
      </c>
      <c r="C266" s="4" t="s">
        <v>77</v>
      </c>
      <c r="D266" s="16" t="s">
        <v>88</v>
      </c>
      <c r="E266" s="16" t="s">
        <v>88</v>
      </c>
      <c r="F266" s="16" t="s">
        <v>83</v>
      </c>
      <c r="G266" s="8"/>
      <c r="H266" s="8"/>
      <c r="I266" s="8"/>
    </row>
    <row r="267" spans="1:9" x14ac:dyDescent="0.25">
      <c r="A267" s="4" t="s">
        <v>340</v>
      </c>
      <c r="B267" s="4" t="s">
        <v>7</v>
      </c>
      <c r="C267" s="4" t="s">
        <v>77</v>
      </c>
      <c r="D267" s="16" t="s">
        <v>99</v>
      </c>
      <c r="E267" s="16" t="s">
        <v>99</v>
      </c>
      <c r="F267" s="16" t="s">
        <v>83</v>
      </c>
      <c r="G267" s="8"/>
      <c r="H267" s="8"/>
      <c r="I267" s="8"/>
    </row>
    <row r="268" spans="1:9" x14ac:dyDescent="0.25">
      <c r="A268" s="4" t="s">
        <v>340</v>
      </c>
      <c r="B268" s="4" t="s">
        <v>7</v>
      </c>
      <c r="C268" s="4" t="s">
        <v>77</v>
      </c>
      <c r="D268" s="16" t="s">
        <v>97</v>
      </c>
      <c r="E268" s="16" t="s">
        <v>98</v>
      </c>
      <c r="F268" s="16" t="s">
        <v>83</v>
      </c>
      <c r="G268" s="8"/>
      <c r="H268" s="8"/>
      <c r="I268" s="8"/>
    </row>
    <row r="269" spans="1:9" x14ac:dyDescent="0.25">
      <c r="A269" s="4" t="s">
        <v>340</v>
      </c>
      <c r="B269" s="4" t="s">
        <v>7</v>
      </c>
      <c r="C269" s="4" t="s">
        <v>77</v>
      </c>
      <c r="D269" s="16" t="s">
        <v>25</v>
      </c>
      <c r="E269" s="16" t="s">
        <v>333</v>
      </c>
      <c r="F269" s="16" t="s">
        <v>83</v>
      </c>
      <c r="G269" s="8"/>
      <c r="H269" s="8"/>
      <c r="I269" s="8"/>
    </row>
    <row r="270" spans="1:9" x14ac:dyDescent="0.25">
      <c r="A270" s="4" t="s">
        <v>340</v>
      </c>
      <c r="B270" s="4" t="s">
        <v>7</v>
      </c>
      <c r="C270" s="4" t="s">
        <v>77</v>
      </c>
      <c r="D270" s="16" t="s">
        <v>89</v>
      </c>
      <c r="E270" s="16" t="s">
        <v>89</v>
      </c>
      <c r="F270" s="16"/>
      <c r="G270" s="8"/>
      <c r="H270" s="8"/>
      <c r="I270" s="8"/>
    </row>
    <row r="271" spans="1:9" x14ac:dyDescent="0.25">
      <c r="A271" s="4" t="s">
        <v>340</v>
      </c>
      <c r="B271" s="4" t="s">
        <v>7</v>
      </c>
      <c r="C271" s="4" t="s">
        <v>77</v>
      </c>
      <c r="D271" s="16" t="s">
        <v>90</v>
      </c>
      <c r="E271" s="16" t="s">
        <v>90</v>
      </c>
      <c r="F271" s="16"/>
      <c r="G271" s="8"/>
      <c r="H271" s="8"/>
      <c r="I271" s="8"/>
    </row>
    <row r="272" spans="1:9" x14ac:dyDescent="0.25">
      <c r="A272" s="4" t="s">
        <v>340</v>
      </c>
      <c r="B272" s="4" t="s">
        <v>7</v>
      </c>
      <c r="C272" s="4" t="s">
        <v>77</v>
      </c>
      <c r="D272" s="16" t="s">
        <v>93</v>
      </c>
      <c r="E272" s="16" t="s">
        <v>93</v>
      </c>
      <c r="F272" s="16"/>
      <c r="G272" s="8"/>
      <c r="H272" s="8"/>
      <c r="I272" s="8"/>
    </row>
    <row r="273" spans="1:9" x14ac:dyDescent="0.25">
      <c r="A273" s="4" t="s">
        <v>340</v>
      </c>
      <c r="B273" s="4" t="s">
        <v>7</v>
      </c>
      <c r="C273" s="4" t="s">
        <v>77</v>
      </c>
      <c r="D273" s="16" t="s">
        <v>94</v>
      </c>
      <c r="E273" s="16" t="s">
        <v>94</v>
      </c>
      <c r="F273" s="16"/>
      <c r="G273" s="8"/>
      <c r="H273" s="8"/>
      <c r="I273" s="8"/>
    </row>
    <row r="274" spans="1:9" x14ac:dyDescent="0.25">
      <c r="A274" s="4" t="s">
        <v>340</v>
      </c>
      <c r="B274" s="4" t="s">
        <v>7</v>
      </c>
      <c r="C274" s="4" t="s">
        <v>77</v>
      </c>
      <c r="D274" s="16" t="s">
        <v>487</v>
      </c>
      <c r="E274" s="16" t="s">
        <v>487</v>
      </c>
      <c r="F274" s="16"/>
      <c r="G274" s="8"/>
      <c r="H274" s="8"/>
      <c r="I274" s="8"/>
    </row>
    <row r="275" spans="1:9" x14ac:dyDescent="0.25">
      <c r="A275" s="4" t="s">
        <v>340</v>
      </c>
      <c r="B275" s="4" t="s">
        <v>7</v>
      </c>
      <c r="C275" s="4" t="s">
        <v>77</v>
      </c>
      <c r="D275" s="16" t="s">
        <v>272</v>
      </c>
      <c r="E275" s="16" t="s">
        <v>272</v>
      </c>
      <c r="F275" s="16" t="s">
        <v>489</v>
      </c>
      <c r="G275" s="8"/>
      <c r="H275" s="8"/>
      <c r="I275" s="8"/>
    </row>
    <row r="276" spans="1:9" x14ac:dyDescent="0.25">
      <c r="A276" s="4" t="s">
        <v>340</v>
      </c>
      <c r="B276" s="4" t="s">
        <v>7</v>
      </c>
      <c r="C276" s="4" t="s">
        <v>77</v>
      </c>
      <c r="D276" s="16" t="s">
        <v>320</v>
      </c>
      <c r="E276" s="16" t="s">
        <v>320</v>
      </c>
      <c r="F276" s="16"/>
      <c r="G276" s="8"/>
      <c r="H276" s="8"/>
      <c r="I276" s="8"/>
    </row>
    <row r="277" spans="1:9" x14ac:dyDescent="0.25">
      <c r="A277" s="4" t="s">
        <v>340</v>
      </c>
      <c r="B277" s="4" t="s">
        <v>7</v>
      </c>
      <c r="C277" s="4" t="s">
        <v>77</v>
      </c>
      <c r="D277" s="16" t="s">
        <v>488</v>
      </c>
      <c r="E277" s="16" t="s">
        <v>488</v>
      </c>
      <c r="F277" s="16"/>
      <c r="G277" s="8"/>
      <c r="H277" s="8"/>
      <c r="I277" s="8"/>
    </row>
    <row r="278" spans="1:9" x14ac:dyDescent="0.25">
      <c r="A278" s="4" t="s">
        <v>340</v>
      </c>
      <c r="B278" s="4" t="s">
        <v>7</v>
      </c>
      <c r="C278" s="4" t="s">
        <v>77</v>
      </c>
      <c r="D278" s="16" t="s">
        <v>863</v>
      </c>
      <c r="E278" s="16" t="s">
        <v>863</v>
      </c>
      <c r="F278" s="16"/>
      <c r="G278" s="8"/>
      <c r="H278" s="8"/>
      <c r="I278" s="8"/>
    </row>
    <row r="279" spans="1:9" x14ac:dyDescent="0.25">
      <c r="A279" s="4" t="s">
        <v>340</v>
      </c>
      <c r="B279" s="4" t="s">
        <v>7</v>
      </c>
      <c r="C279" s="4" t="s">
        <v>77</v>
      </c>
      <c r="D279" s="16" t="s">
        <v>864</v>
      </c>
      <c r="E279" s="16" t="s">
        <v>864</v>
      </c>
      <c r="F279" s="16" t="s">
        <v>490</v>
      </c>
      <c r="G279" s="8"/>
      <c r="H279" s="8"/>
      <c r="I279" s="8"/>
    </row>
    <row r="280" spans="1:9" x14ac:dyDescent="0.25">
      <c r="A280" s="4" t="s">
        <v>340</v>
      </c>
      <c r="B280" s="4" t="s">
        <v>7</v>
      </c>
      <c r="C280" s="4" t="s">
        <v>77</v>
      </c>
      <c r="D280" s="16" t="s">
        <v>902</v>
      </c>
      <c r="E280" s="16" t="s">
        <v>902</v>
      </c>
      <c r="F280" s="16"/>
      <c r="G280" s="8"/>
      <c r="H280" s="8"/>
      <c r="I280" s="8"/>
    </row>
    <row r="281" spans="1:9" x14ac:dyDescent="0.25">
      <c r="A281" s="4" t="s">
        <v>340</v>
      </c>
      <c r="B281" s="4" t="s">
        <v>7</v>
      </c>
      <c r="C281" s="4" t="s">
        <v>77</v>
      </c>
      <c r="D281" s="16" t="s">
        <v>903</v>
      </c>
      <c r="E281" s="16" t="s">
        <v>903</v>
      </c>
      <c r="F281" s="16"/>
      <c r="G281" s="8"/>
      <c r="H281" s="8"/>
      <c r="I281" s="8"/>
    </row>
    <row r="282" spans="1:9" ht="30" x14ac:dyDescent="0.25">
      <c r="A282" s="4" t="s">
        <v>340</v>
      </c>
      <c r="B282" s="4" t="s">
        <v>7</v>
      </c>
      <c r="C282" s="4" t="s">
        <v>95</v>
      </c>
      <c r="D282" s="16" t="e">
        <f>I282&amp;".txt"</f>
        <v>#REF!</v>
      </c>
      <c r="E282" s="3"/>
      <c r="F282" s="3"/>
      <c r="G282" s="16" t="s">
        <v>7</v>
      </c>
      <c r="H282" s="16" t="s">
        <v>491</v>
      </c>
      <c r="I282" s="16" t="e">
        <f>VLOOKUP(A282&amp;G282&amp;H282,#REF!,2,FALSE)</f>
        <v>#REF!</v>
      </c>
    </row>
    <row r="283" spans="1:9" ht="30" x14ac:dyDescent="0.25">
      <c r="A283" s="4" t="s">
        <v>340</v>
      </c>
      <c r="B283" s="4" t="s">
        <v>7</v>
      </c>
      <c r="C283" s="4" t="s">
        <v>96</v>
      </c>
      <c r="D283" s="16" t="e">
        <f>I283&amp;".txt"</f>
        <v>#REF!</v>
      </c>
      <c r="E283" s="16" t="s">
        <v>81</v>
      </c>
      <c r="F283" s="16" t="s">
        <v>83</v>
      </c>
      <c r="G283" s="16" t="s">
        <v>29</v>
      </c>
      <c r="H283" s="16" t="s">
        <v>59</v>
      </c>
      <c r="I283" s="16" t="e">
        <f>VLOOKUP(A283&amp;G283&amp;H283,#REF!,2,FALSE)</f>
        <v>#REF!</v>
      </c>
    </row>
    <row r="284" spans="1:9" x14ac:dyDescent="0.25">
      <c r="A284" s="4" t="s">
        <v>340</v>
      </c>
      <c r="B284" s="4" t="s">
        <v>7</v>
      </c>
      <c r="C284" s="4" t="s">
        <v>96</v>
      </c>
      <c r="D284" s="16" t="e">
        <f>I284&amp;".txt"</f>
        <v>#REF!</v>
      </c>
      <c r="E284" s="16" t="s">
        <v>81</v>
      </c>
      <c r="F284" s="16" t="s">
        <v>92</v>
      </c>
      <c r="G284" s="16" t="s">
        <v>4</v>
      </c>
      <c r="H284" s="16" t="s">
        <v>4</v>
      </c>
      <c r="I284" s="16" t="e">
        <f>VLOOKUP(A284&amp;G284&amp;H284,#REF!,2,FALSE)</f>
        <v>#REF!</v>
      </c>
    </row>
    <row r="285" spans="1:9" x14ac:dyDescent="0.25">
      <c r="A285" s="4" t="s">
        <v>340</v>
      </c>
      <c r="B285" s="4" t="s">
        <v>7</v>
      </c>
      <c r="C285" s="4" t="s">
        <v>96</v>
      </c>
      <c r="D285" s="16" t="e">
        <f>I285&amp;".txt"</f>
        <v>#REF!</v>
      </c>
      <c r="E285" s="16" t="s">
        <v>81</v>
      </c>
      <c r="F285" s="16" t="s">
        <v>489</v>
      </c>
      <c r="G285" s="16" t="s">
        <v>4</v>
      </c>
      <c r="H285" s="16" t="s">
        <v>4</v>
      </c>
      <c r="I285" s="16" t="e">
        <f>VLOOKUP(A285&amp;G285&amp;H285,#REF!,2,FALSE)</f>
        <v>#REF!</v>
      </c>
    </row>
    <row r="286" spans="1:9" x14ac:dyDescent="0.25">
      <c r="A286" s="4" t="s">
        <v>340</v>
      </c>
      <c r="B286" s="4" t="s">
        <v>7</v>
      </c>
      <c r="C286" s="4" t="s">
        <v>96</v>
      </c>
      <c r="D286" s="16" t="e">
        <f>I286&amp;".txt"</f>
        <v>#REF!</v>
      </c>
      <c r="E286" s="16" t="s">
        <v>81</v>
      </c>
      <c r="F286" s="16" t="s">
        <v>490</v>
      </c>
      <c r="G286" s="16" t="s">
        <v>4</v>
      </c>
      <c r="H286" s="16" t="s">
        <v>4</v>
      </c>
      <c r="I286" s="16" t="e">
        <f>VLOOKUP(A286&amp;G286&amp;H286,#REF!,2,FALSE)</f>
        <v>#REF!</v>
      </c>
    </row>
    <row r="287" spans="1:9" x14ac:dyDescent="0.25">
      <c r="A287" s="37"/>
      <c r="B287" s="37"/>
      <c r="C287" s="37"/>
      <c r="D287" s="37"/>
      <c r="E287" s="37"/>
      <c r="F287" s="37"/>
      <c r="G287" s="8"/>
      <c r="H287" s="8"/>
      <c r="I287" s="8"/>
    </row>
    <row r="288" spans="1:9" x14ac:dyDescent="0.25">
      <c r="A288" s="4" t="s">
        <v>340</v>
      </c>
      <c r="B288" s="4" t="s">
        <v>917</v>
      </c>
      <c r="C288" s="4" t="s">
        <v>77</v>
      </c>
      <c r="D288" s="22" t="s">
        <v>997</v>
      </c>
      <c r="E288" s="22" t="s">
        <v>203</v>
      </c>
      <c r="F288" s="16"/>
      <c r="G288" s="8"/>
      <c r="H288" s="8"/>
      <c r="I288" s="8"/>
    </row>
    <row r="289" spans="1:9" x14ac:dyDescent="0.25">
      <c r="A289" s="4" t="s">
        <v>340</v>
      </c>
      <c r="B289" s="4" t="s">
        <v>917</v>
      </c>
      <c r="C289" s="4" t="s">
        <v>77</v>
      </c>
      <c r="D289" s="22" t="s">
        <v>905</v>
      </c>
      <c r="E289" s="22" t="s">
        <v>203</v>
      </c>
      <c r="F289" s="16"/>
      <c r="G289" s="8"/>
      <c r="H289" s="8"/>
      <c r="I289" s="8"/>
    </row>
    <row r="290" spans="1:9" x14ac:dyDescent="0.25">
      <c r="A290" s="4" t="s">
        <v>340</v>
      </c>
      <c r="B290" s="4" t="s">
        <v>917</v>
      </c>
      <c r="C290" s="4" t="s">
        <v>77</v>
      </c>
      <c r="D290" s="22" t="s">
        <v>998</v>
      </c>
      <c r="E290" s="22" t="s">
        <v>203</v>
      </c>
      <c r="F290" s="16"/>
      <c r="G290" s="8"/>
      <c r="H290" s="8"/>
      <c r="I290" s="8"/>
    </row>
    <row r="291" spans="1:9" x14ac:dyDescent="0.25">
      <c r="A291" s="4" t="s">
        <v>340</v>
      </c>
      <c r="B291" s="4" t="s">
        <v>917</v>
      </c>
      <c r="C291" s="4" t="s">
        <v>77</v>
      </c>
      <c r="D291" s="22" t="s">
        <v>906</v>
      </c>
      <c r="E291" s="22" t="s">
        <v>203</v>
      </c>
      <c r="F291" s="16"/>
      <c r="G291" s="8"/>
      <c r="H291" s="8"/>
      <c r="I291" s="8"/>
    </row>
    <row r="292" spans="1:9" x14ac:dyDescent="0.25">
      <c r="A292" s="4" t="s">
        <v>340</v>
      </c>
      <c r="B292" s="4" t="s">
        <v>917</v>
      </c>
      <c r="C292" s="4" t="s">
        <v>77</v>
      </c>
      <c r="D292" s="22" t="s">
        <v>907</v>
      </c>
      <c r="E292" s="22" t="s">
        <v>203</v>
      </c>
      <c r="F292" s="16"/>
      <c r="G292" s="8"/>
      <c r="H292" s="8"/>
      <c r="I292" s="8"/>
    </row>
    <row r="293" spans="1:9" x14ac:dyDescent="0.25">
      <c r="A293" s="4" t="s">
        <v>340</v>
      </c>
      <c r="B293" s="4" t="s">
        <v>917</v>
      </c>
      <c r="C293" s="4" t="s">
        <v>77</v>
      </c>
      <c r="D293" s="22" t="s">
        <v>999</v>
      </c>
      <c r="E293" s="22" t="s">
        <v>203</v>
      </c>
      <c r="F293" s="16"/>
      <c r="G293" s="8"/>
      <c r="H293" s="8"/>
      <c r="I293" s="8"/>
    </row>
    <row r="294" spans="1:9" x14ac:dyDescent="0.25">
      <c r="A294" s="4" t="s">
        <v>340</v>
      </c>
      <c r="B294" s="4" t="s">
        <v>917</v>
      </c>
      <c r="C294" s="4" t="s">
        <v>77</v>
      </c>
      <c r="D294" s="22" t="s">
        <v>908</v>
      </c>
      <c r="E294" s="22" t="s">
        <v>203</v>
      </c>
      <c r="F294" s="16"/>
      <c r="G294" s="8"/>
      <c r="H294" s="8"/>
      <c r="I294" s="8"/>
    </row>
    <row r="295" spans="1:9" x14ac:dyDescent="0.25">
      <c r="A295" s="4" t="s">
        <v>340</v>
      </c>
      <c r="B295" s="4" t="s">
        <v>917</v>
      </c>
      <c r="C295" s="4" t="s">
        <v>77</v>
      </c>
      <c r="D295" s="22" t="s">
        <v>1000</v>
      </c>
      <c r="E295" s="22" t="s">
        <v>203</v>
      </c>
      <c r="F295" s="16"/>
      <c r="G295" s="8"/>
      <c r="H295" s="8"/>
      <c r="I295" s="8"/>
    </row>
    <row r="296" spans="1:9" x14ac:dyDescent="0.25">
      <c r="A296" s="4" t="s">
        <v>340</v>
      </c>
      <c r="B296" s="4" t="s">
        <v>917</v>
      </c>
      <c r="C296" s="4" t="s">
        <v>77</v>
      </c>
      <c r="D296" s="22" t="s">
        <v>900</v>
      </c>
      <c r="E296" s="22" t="s">
        <v>203</v>
      </c>
      <c r="F296" s="16"/>
      <c r="G296" s="8"/>
      <c r="H296" s="8"/>
      <c r="I296" s="8"/>
    </row>
    <row r="297" spans="1:9" x14ac:dyDescent="0.25">
      <c r="A297" s="4" t="s">
        <v>340</v>
      </c>
      <c r="B297" s="4" t="s">
        <v>917</v>
      </c>
      <c r="C297" s="4" t="s">
        <v>77</v>
      </c>
      <c r="D297" s="22" t="s">
        <v>1001</v>
      </c>
      <c r="E297" s="22" t="s">
        <v>203</v>
      </c>
      <c r="F297" s="16"/>
      <c r="G297" s="8"/>
      <c r="H297" s="8"/>
      <c r="I297" s="8"/>
    </row>
    <row r="298" spans="1:9" x14ac:dyDescent="0.25">
      <c r="A298" s="4" t="s">
        <v>340</v>
      </c>
      <c r="B298" s="4" t="s">
        <v>917</v>
      </c>
      <c r="C298" s="4" t="s">
        <v>77</v>
      </c>
      <c r="D298" s="22" t="s">
        <v>1002</v>
      </c>
      <c r="E298" s="22" t="s">
        <v>203</v>
      </c>
      <c r="F298" s="16"/>
      <c r="G298" s="8"/>
      <c r="H298" s="8"/>
      <c r="I298" s="8"/>
    </row>
    <row r="299" spans="1:9" x14ac:dyDescent="0.25">
      <c r="A299" s="4" t="s">
        <v>340</v>
      </c>
      <c r="B299" s="4" t="s">
        <v>917</v>
      </c>
      <c r="C299" s="4" t="s">
        <v>77</v>
      </c>
      <c r="D299" s="16" t="s">
        <v>78</v>
      </c>
      <c r="E299" s="16" t="s">
        <v>79</v>
      </c>
      <c r="F299" s="16"/>
      <c r="G299" s="8"/>
      <c r="H299" s="8"/>
      <c r="I299" s="8"/>
    </row>
    <row r="300" spans="1:9" x14ac:dyDescent="0.25">
      <c r="A300" s="4" t="s">
        <v>340</v>
      </c>
      <c r="B300" s="4" t="s">
        <v>917</v>
      </c>
      <c r="C300" s="4" t="s">
        <v>77</v>
      </c>
      <c r="D300" s="16" t="s">
        <v>901</v>
      </c>
      <c r="E300" s="16" t="s">
        <v>901</v>
      </c>
      <c r="F300" s="16"/>
      <c r="G300" s="8"/>
      <c r="H300" s="8"/>
      <c r="I300" s="8"/>
    </row>
    <row r="301" spans="1:9" x14ac:dyDescent="0.25">
      <c r="A301" s="4" t="s">
        <v>340</v>
      </c>
      <c r="B301" s="4" t="s">
        <v>917</v>
      </c>
      <c r="C301" s="4" t="s">
        <v>77</v>
      </c>
      <c r="D301" s="16" t="s">
        <v>477</v>
      </c>
      <c r="E301" s="16" t="s">
        <v>477</v>
      </c>
      <c r="F301" s="16"/>
      <c r="G301" s="8"/>
      <c r="H301" s="8"/>
      <c r="I301" s="8"/>
    </row>
    <row r="302" spans="1:9" x14ac:dyDescent="0.25">
      <c r="A302" s="4" t="s">
        <v>340</v>
      </c>
      <c r="B302" s="4" t="s">
        <v>917</v>
      </c>
      <c r="C302" s="4" t="s">
        <v>77</v>
      </c>
      <c r="D302" s="16" t="s">
        <v>80</v>
      </c>
      <c r="E302" s="16" t="s">
        <v>81</v>
      </c>
      <c r="F302" s="16"/>
      <c r="G302" s="8"/>
      <c r="H302" s="8"/>
      <c r="I302" s="8"/>
    </row>
    <row r="303" spans="1:9" x14ac:dyDescent="0.25">
      <c r="A303" s="4" t="s">
        <v>340</v>
      </c>
      <c r="B303" s="4" t="s">
        <v>917</v>
      </c>
      <c r="C303" s="4" t="s">
        <v>77</v>
      </c>
      <c r="D303" s="16" t="s">
        <v>82</v>
      </c>
      <c r="E303" s="16" t="s">
        <v>79</v>
      </c>
      <c r="F303" s="16" t="s">
        <v>83</v>
      </c>
      <c r="G303" s="8"/>
      <c r="H303" s="8"/>
      <c r="I303" s="8"/>
    </row>
    <row r="304" spans="1:9" x14ac:dyDescent="0.25">
      <c r="A304" s="4" t="s">
        <v>340</v>
      </c>
      <c r="B304" s="4" t="s">
        <v>917</v>
      </c>
      <c r="C304" s="4" t="s">
        <v>77</v>
      </c>
      <c r="D304" s="16" t="s">
        <v>84</v>
      </c>
      <c r="E304" s="16" t="s">
        <v>81</v>
      </c>
      <c r="F304" s="16" t="s">
        <v>83</v>
      </c>
      <c r="G304" s="8"/>
      <c r="H304" s="8"/>
      <c r="I304" s="8"/>
    </row>
    <row r="305" spans="1:10" x14ac:dyDescent="0.25">
      <c r="A305" s="4" t="s">
        <v>340</v>
      </c>
      <c r="B305" s="4" t="s">
        <v>917</v>
      </c>
      <c r="C305" s="4" t="s">
        <v>77</v>
      </c>
      <c r="D305" s="16" t="s">
        <v>85</v>
      </c>
      <c r="E305" s="16" t="s">
        <v>85</v>
      </c>
      <c r="F305" s="16" t="s">
        <v>83</v>
      </c>
      <c r="G305" s="8"/>
      <c r="H305" s="8"/>
      <c r="I305" s="8"/>
    </row>
    <row r="306" spans="1:10" x14ac:dyDescent="0.25">
      <c r="A306" s="4" t="s">
        <v>340</v>
      </c>
      <c r="B306" s="4" t="s">
        <v>917</v>
      </c>
      <c r="C306" s="4" t="s">
        <v>77</v>
      </c>
      <c r="D306" s="16" t="s">
        <v>994</v>
      </c>
      <c r="E306" s="16" t="s">
        <v>1405</v>
      </c>
      <c r="F306" s="16" t="s">
        <v>83</v>
      </c>
      <c r="G306" s="8"/>
      <c r="H306" s="8"/>
      <c r="I306" s="8"/>
    </row>
    <row r="307" spans="1:10" x14ac:dyDescent="0.25">
      <c r="A307" s="4" t="s">
        <v>340</v>
      </c>
      <c r="B307" s="4" t="s">
        <v>917</v>
      </c>
      <c r="C307" s="4" t="s">
        <v>77</v>
      </c>
      <c r="D307" s="16" t="s">
        <v>86</v>
      </c>
      <c r="E307" s="16" t="s">
        <v>87</v>
      </c>
      <c r="F307" s="16" t="s">
        <v>83</v>
      </c>
      <c r="G307" s="8"/>
      <c r="H307" s="8"/>
      <c r="I307" s="8"/>
      <c r="J307" t="b">
        <v>1</v>
      </c>
    </row>
    <row r="308" spans="1:10" x14ac:dyDescent="0.25">
      <c r="A308" s="4" t="s">
        <v>340</v>
      </c>
      <c r="B308" s="4" t="s">
        <v>917</v>
      </c>
      <c r="C308" s="4" t="s">
        <v>77</v>
      </c>
      <c r="D308" s="16" t="s">
        <v>88</v>
      </c>
      <c r="E308" s="16" t="s">
        <v>88</v>
      </c>
      <c r="F308" s="16" t="s">
        <v>83</v>
      </c>
      <c r="G308" s="8"/>
      <c r="H308" s="8"/>
      <c r="I308" s="8"/>
    </row>
    <row r="309" spans="1:10" x14ac:dyDescent="0.25">
      <c r="A309" s="4" t="s">
        <v>340</v>
      </c>
      <c r="B309" s="4" t="s">
        <v>917</v>
      </c>
      <c r="C309" s="4" t="s">
        <v>77</v>
      </c>
      <c r="D309" s="16" t="s">
        <v>99</v>
      </c>
      <c r="E309" s="16" t="s">
        <v>99</v>
      </c>
      <c r="F309" s="16" t="s">
        <v>83</v>
      </c>
      <c r="G309" s="8"/>
      <c r="H309" s="8"/>
      <c r="I309" s="8"/>
    </row>
    <row r="310" spans="1:10" x14ac:dyDescent="0.25">
      <c r="A310" s="4" t="s">
        <v>340</v>
      </c>
      <c r="B310" s="4" t="s">
        <v>917</v>
      </c>
      <c r="C310" s="4" t="s">
        <v>77</v>
      </c>
      <c r="D310" s="16" t="s">
        <v>97</v>
      </c>
      <c r="E310" s="16" t="s">
        <v>98</v>
      </c>
      <c r="F310" s="16" t="s">
        <v>83</v>
      </c>
      <c r="G310" s="8"/>
      <c r="H310" s="8"/>
      <c r="I310" s="8"/>
    </row>
    <row r="311" spans="1:10" x14ac:dyDescent="0.25">
      <c r="A311" s="4" t="s">
        <v>340</v>
      </c>
      <c r="B311" s="4" t="s">
        <v>917</v>
      </c>
      <c r="C311" s="4" t="s">
        <v>77</v>
      </c>
      <c r="D311" s="16" t="s">
        <v>25</v>
      </c>
      <c r="E311" s="16" t="s">
        <v>333</v>
      </c>
      <c r="F311" s="16" t="s">
        <v>83</v>
      </c>
      <c r="G311" s="8"/>
      <c r="H311" s="8"/>
      <c r="I311" s="8"/>
    </row>
    <row r="312" spans="1:10" x14ac:dyDescent="0.25">
      <c r="A312" s="4" t="s">
        <v>340</v>
      </c>
      <c r="B312" s="4" t="s">
        <v>917</v>
      </c>
      <c r="C312" s="4" t="s">
        <v>77</v>
      </c>
      <c r="D312" s="16" t="s">
        <v>89</v>
      </c>
      <c r="E312" s="16" t="s">
        <v>89</v>
      </c>
      <c r="F312" s="16"/>
      <c r="G312" s="8"/>
      <c r="H312" s="8"/>
      <c r="I312" s="8"/>
    </row>
    <row r="313" spans="1:10" x14ac:dyDescent="0.25">
      <c r="A313" s="4" t="s">
        <v>340</v>
      </c>
      <c r="B313" s="4" t="s">
        <v>917</v>
      </c>
      <c r="C313" s="4" t="s">
        <v>77</v>
      </c>
      <c r="D313" s="16" t="s">
        <v>90</v>
      </c>
      <c r="E313" s="16" t="s">
        <v>90</v>
      </c>
      <c r="F313" s="16"/>
      <c r="G313" s="8"/>
      <c r="H313" s="8"/>
      <c r="I313" s="8"/>
    </row>
    <row r="314" spans="1:10" x14ac:dyDescent="0.25">
      <c r="A314" s="4" t="s">
        <v>340</v>
      </c>
      <c r="B314" s="4" t="s">
        <v>917</v>
      </c>
      <c r="C314" s="4" t="s">
        <v>77</v>
      </c>
      <c r="D314" s="16" t="s">
        <v>1447</v>
      </c>
      <c r="E314" s="16" t="s">
        <v>962</v>
      </c>
      <c r="F314" s="16" t="s">
        <v>92</v>
      </c>
      <c r="G314" s="8"/>
      <c r="H314" s="8"/>
      <c r="I314" s="8"/>
    </row>
    <row r="315" spans="1:10" x14ac:dyDescent="0.25">
      <c r="A315" s="4" t="s">
        <v>340</v>
      </c>
      <c r="B315" s="4" t="s">
        <v>917</v>
      </c>
      <c r="C315" s="4" t="s">
        <v>77</v>
      </c>
      <c r="D315" s="16" t="s">
        <v>93</v>
      </c>
      <c r="E315" s="16" t="s">
        <v>93</v>
      </c>
      <c r="F315" s="16"/>
      <c r="G315" s="8"/>
      <c r="H315" s="8"/>
      <c r="I315" s="8"/>
    </row>
    <row r="316" spans="1:10" x14ac:dyDescent="0.25">
      <c r="A316" s="4" t="s">
        <v>340</v>
      </c>
      <c r="B316" s="4" t="s">
        <v>917</v>
      </c>
      <c r="C316" s="4" t="s">
        <v>77</v>
      </c>
      <c r="D316" s="16" t="s">
        <v>94</v>
      </c>
      <c r="E316" s="16" t="s">
        <v>94</v>
      </c>
      <c r="F316" s="16"/>
      <c r="G316" s="8"/>
      <c r="H316" s="8"/>
      <c r="I316" s="8"/>
    </row>
    <row r="317" spans="1:10" ht="30" x14ac:dyDescent="0.25">
      <c r="A317" s="4" t="s">
        <v>340</v>
      </c>
      <c r="B317" s="4" t="s">
        <v>917</v>
      </c>
      <c r="C317" s="4" t="s">
        <v>95</v>
      </c>
      <c r="D317" s="16" t="e">
        <f>I317&amp;".txt"</f>
        <v>#REF!</v>
      </c>
      <c r="E317" s="3"/>
      <c r="F317" s="3"/>
      <c r="G317" s="16" t="s">
        <v>7</v>
      </c>
      <c r="H317" s="16" t="s">
        <v>60</v>
      </c>
      <c r="I317" s="16" t="e">
        <f>VLOOKUP(A317&amp;G317&amp;H317,#REF!,2,FALSE)</f>
        <v>#REF!</v>
      </c>
    </row>
    <row r="318" spans="1:10" ht="30" x14ac:dyDescent="0.25">
      <c r="A318" s="4" t="s">
        <v>340</v>
      </c>
      <c r="B318" s="4" t="s">
        <v>917</v>
      </c>
      <c r="C318" s="4" t="s">
        <v>96</v>
      </c>
      <c r="D318" s="16" t="e">
        <f>I318&amp;".txt"</f>
        <v>#REF!</v>
      </c>
      <c r="E318" s="16" t="s">
        <v>81</v>
      </c>
      <c r="F318" s="16" t="s">
        <v>83</v>
      </c>
      <c r="G318" s="16" t="s">
        <v>29</v>
      </c>
      <c r="H318" s="16" t="s">
        <v>59</v>
      </c>
      <c r="I318" s="16" t="e">
        <f>VLOOKUP(A318&amp;G318&amp;H318,#REF!,2,FALSE)</f>
        <v>#REF!</v>
      </c>
    </row>
    <row r="319" spans="1:10" x14ac:dyDescent="0.25">
      <c r="A319" s="4" t="s">
        <v>340</v>
      </c>
      <c r="B319" s="4" t="s">
        <v>917</v>
      </c>
      <c r="C319" s="4" t="s">
        <v>96</v>
      </c>
      <c r="D319" s="16" t="e">
        <f>I319&amp;".txt"</f>
        <v>#REF!</v>
      </c>
      <c r="E319" s="16" t="s">
        <v>81</v>
      </c>
      <c r="F319" s="16" t="s">
        <v>92</v>
      </c>
      <c r="G319" s="16" t="s">
        <v>4</v>
      </c>
      <c r="H319" s="16" t="s">
        <v>4</v>
      </c>
      <c r="I319" s="16" t="e">
        <f>VLOOKUP(A319&amp;G319&amp;H319,#REF!,2,FALSE)</f>
        <v>#REF!</v>
      </c>
    </row>
    <row r="320" spans="1:10" x14ac:dyDescent="0.25">
      <c r="A320" s="37"/>
      <c r="B320" s="37"/>
      <c r="C320" s="37"/>
      <c r="D320" s="37"/>
      <c r="E320" s="37"/>
      <c r="F320" s="37"/>
      <c r="G320" s="8"/>
      <c r="H320" s="8"/>
      <c r="I320" s="8"/>
    </row>
    <row r="321" spans="1:9" x14ac:dyDescent="0.25">
      <c r="A321" s="4" t="s">
        <v>340</v>
      </c>
      <c r="B321" s="4" t="s">
        <v>987</v>
      </c>
      <c r="C321" s="4" t="s">
        <v>77</v>
      </c>
      <c r="D321" s="16" t="s">
        <v>966</v>
      </c>
      <c r="E321" s="16" t="s">
        <v>203</v>
      </c>
      <c r="F321" s="16"/>
      <c r="G321" s="8"/>
      <c r="H321" s="8"/>
      <c r="I321" s="8"/>
    </row>
    <row r="322" spans="1:9" x14ac:dyDescent="0.25">
      <c r="A322" s="4" t="s">
        <v>340</v>
      </c>
      <c r="B322" s="4" t="s">
        <v>987</v>
      </c>
      <c r="C322" s="4" t="s">
        <v>77</v>
      </c>
      <c r="D322" s="16" t="s">
        <v>905</v>
      </c>
      <c r="E322" s="16" t="s">
        <v>203</v>
      </c>
      <c r="F322" s="16"/>
      <c r="G322" s="8"/>
      <c r="H322" s="8"/>
      <c r="I322" s="8"/>
    </row>
    <row r="323" spans="1:9" x14ac:dyDescent="0.25">
      <c r="A323" s="4" t="s">
        <v>340</v>
      </c>
      <c r="B323" s="4" t="s">
        <v>987</v>
      </c>
      <c r="C323" s="4" t="s">
        <v>77</v>
      </c>
      <c r="D323" s="16" t="s">
        <v>967</v>
      </c>
      <c r="E323" s="16" t="s">
        <v>203</v>
      </c>
      <c r="F323" s="16"/>
      <c r="G323" s="8"/>
      <c r="H323" s="8"/>
      <c r="I323" s="8"/>
    </row>
    <row r="324" spans="1:9" x14ac:dyDescent="0.25">
      <c r="A324" s="4" t="s">
        <v>340</v>
      </c>
      <c r="B324" s="4" t="s">
        <v>987</v>
      </c>
      <c r="C324" s="4" t="s">
        <v>77</v>
      </c>
      <c r="D324" s="16" t="s">
        <v>906</v>
      </c>
      <c r="E324" s="16" t="s">
        <v>203</v>
      </c>
      <c r="F324" s="16"/>
      <c r="G324" s="8"/>
      <c r="H324" s="8"/>
      <c r="I324" s="8"/>
    </row>
    <row r="325" spans="1:9" x14ac:dyDescent="0.25">
      <c r="A325" s="4" t="s">
        <v>340</v>
      </c>
      <c r="B325" s="4" t="s">
        <v>987</v>
      </c>
      <c r="C325" s="4" t="s">
        <v>77</v>
      </c>
      <c r="D325" s="16" t="s">
        <v>907</v>
      </c>
      <c r="E325" s="16" t="s">
        <v>203</v>
      </c>
      <c r="F325" s="16"/>
      <c r="G325" s="8"/>
      <c r="H325" s="8"/>
      <c r="I325" s="8"/>
    </row>
    <row r="326" spans="1:9" x14ac:dyDescent="0.25">
      <c r="A326" s="4" t="s">
        <v>340</v>
      </c>
      <c r="B326" s="4" t="s">
        <v>987</v>
      </c>
      <c r="C326" s="4" t="s">
        <v>77</v>
      </c>
      <c r="D326" s="16" t="s">
        <v>968</v>
      </c>
      <c r="E326" s="16" t="s">
        <v>203</v>
      </c>
      <c r="F326" s="16"/>
      <c r="G326" s="8"/>
      <c r="H326" s="8"/>
      <c r="I326" s="8"/>
    </row>
    <row r="327" spans="1:9" x14ac:dyDescent="0.25">
      <c r="A327" s="4" t="s">
        <v>340</v>
      </c>
      <c r="B327" s="4" t="s">
        <v>987</v>
      </c>
      <c r="C327" s="4" t="s">
        <v>77</v>
      </c>
      <c r="D327" s="16" t="s">
        <v>908</v>
      </c>
      <c r="E327" s="16" t="s">
        <v>203</v>
      </c>
      <c r="F327" s="16"/>
      <c r="G327" s="8"/>
      <c r="H327" s="8"/>
      <c r="I327" s="8"/>
    </row>
    <row r="328" spans="1:9" x14ac:dyDescent="0.25">
      <c r="A328" s="4" t="s">
        <v>340</v>
      </c>
      <c r="B328" s="4" t="s">
        <v>987</v>
      </c>
      <c r="C328" s="4" t="s">
        <v>77</v>
      </c>
      <c r="D328" s="16" t="s">
        <v>969</v>
      </c>
      <c r="E328" s="16" t="s">
        <v>203</v>
      </c>
      <c r="F328" s="16"/>
      <c r="G328" s="8"/>
      <c r="H328" s="8"/>
      <c r="I328" s="8"/>
    </row>
    <row r="329" spans="1:9" x14ac:dyDescent="0.25">
      <c r="A329" s="4" t="s">
        <v>340</v>
      </c>
      <c r="B329" s="4" t="s">
        <v>987</v>
      </c>
      <c r="C329" s="4" t="s">
        <v>77</v>
      </c>
      <c r="D329" s="16" t="s">
        <v>900</v>
      </c>
      <c r="E329" s="16" t="s">
        <v>203</v>
      </c>
      <c r="F329" s="16"/>
      <c r="G329" s="8"/>
      <c r="H329" s="8"/>
      <c r="I329" s="8"/>
    </row>
    <row r="330" spans="1:9" x14ac:dyDescent="0.25">
      <c r="A330" s="4" t="s">
        <v>340</v>
      </c>
      <c r="B330" s="4" t="s">
        <v>987</v>
      </c>
      <c r="C330" s="4" t="s">
        <v>77</v>
      </c>
      <c r="D330" s="16" t="s">
        <v>1001</v>
      </c>
      <c r="E330" s="16" t="s">
        <v>203</v>
      </c>
      <c r="F330" s="16"/>
      <c r="G330" s="8"/>
      <c r="H330" s="8"/>
      <c r="I330" s="8"/>
    </row>
    <row r="331" spans="1:9" x14ac:dyDescent="0.25">
      <c r="A331" s="4" t="s">
        <v>340</v>
      </c>
      <c r="B331" s="4" t="s">
        <v>987</v>
      </c>
      <c r="C331" s="4" t="s">
        <v>77</v>
      </c>
      <c r="D331" s="16" t="s">
        <v>1002</v>
      </c>
      <c r="E331" s="16" t="s">
        <v>203</v>
      </c>
      <c r="F331" s="16"/>
      <c r="G331" s="8"/>
      <c r="H331" s="8"/>
      <c r="I331" s="8"/>
    </row>
    <row r="332" spans="1:9" x14ac:dyDescent="0.25">
      <c r="A332" s="4" t="s">
        <v>340</v>
      </c>
      <c r="B332" s="4" t="s">
        <v>987</v>
      </c>
      <c r="C332" s="4" t="s">
        <v>77</v>
      </c>
      <c r="D332" s="16" t="s">
        <v>912</v>
      </c>
      <c r="E332" s="16" t="s">
        <v>79</v>
      </c>
      <c r="F332" s="16"/>
      <c r="G332" s="8"/>
      <c r="H332" s="8"/>
      <c r="I332" s="8"/>
    </row>
    <row r="333" spans="1:9" x14ac:dyDescent="0.25">
      <c r="A333" s="4" t="s">
        <v>340</v>
      </c>
      <c r="B333" s="4" t="s">
        <v>987</v>
      </c>
      <c r="C333" s="4" t="s">
        <v>77</v>
      </c>
      <c r="D333" s="16" t="s">
        <v>477</v>
      </c>
      <c r="E333" s="16" t="s">
        <v>477</v>
      </c>
      <c r="F333" s="16"/>
      <c r="G333" s="8"/>
      <c r="H333" s="8"/>
      <c r="I333" s="8"/>
    </row>
    <row r="334" spans="1:9" x14ac:dyDescent="0.25">
      <c r="A334" s="4" t="s">
        <v>340</v>
      </c>
      <c r="B334" s="4" t="s">
        <v>987</v>
      </c>
      <c r="C334" s="4" t="s">
        <v>77</v>
      </c>
      <c r="D334" s="16" t="s">
        <v>80</v>
      </c>
      <c r="E334" s="16" t="s">
        <v>81</v>
      </c>
      <c r="F334" s="16"/>
      <c r="G334" s="8"/>
      <c r="H334" s="8"/>
      <c r="I334" s="8"/>
    </row>
    <row r="335" spans="1:9" x14ac:dyDescent="0.25">
      <c r="A335" s="4" t="s">
        <v>340</v>
      </c>
      <c r="B335" s="4" t="s">
        <v>987</v>
      </c>
      <c r="C335" s="4" t="s">
        <v>77</v>
      </c>
      <c r="D335" s="16" t="s">
        <v>82</v>
      </c>
      <c r="E335" s="16" t="s">
        <v>79</v>
      </c>
      <c r="F335" s="16" t="s">
        <v>83</v>
      </c>
      <c r="G335" s="8"/>
      <c r="H335" s="8"/>
      <c r="I335" s="8"/>
    </row>
    <row r="336" spans="1:9" x14ac:dyDescent="0.25">
      <c r="A336" s="4" t="s">
        <v>340</v>
      </c>
      <c r="B336" s="4" t="s">
        <v>987</v>
      </c>
      <c r="C336" s="4" t="s">
        <v>77</v>
      </c>
      <c r="D336" s="16" t="s">
        <v>84</v>
      </c>
      <c r="E336" s="16" t="s">
        <v>81</v>
      </c>
      <c r="F336" s="16" t="s">
        <v>83</v>
      </c>
      <c r="G336" s="8"/>
      <c r="H336" s="8"/>
      <c r="I336" s="8"/>
    </row>
    <row r="337" spans="1:9" x14ac:dyDescent="0.25">
      <c r="A337" s="4" t="s">
        <v>340</v>
      </c>
      <c r="B337" s="4" t="s">
        <v>987</v>
      </c>
      <c r="C337" s="4" t="s">
        <v>77</v>
      </c>
      <c r="D337" s="16" t="s">
        <v>85</v>
      </c>
      <c r="E337" s="16" t="s">
        <v>85</v>
      </c>
      <c r="F337" s="16" t="s">
        <v>83</v>
      </c>
      <c r="G337" s="8"/>
      <c r="H337" s="8"/>
      <c r="I337" s="8"/>
    </row>
    <row r="338" spans="1:9" x14ac:dyDescent="0.25">
      <c r="A338" s="4" t="s">
        <v>340</v>
      </c>
      <c r="B338" s="4" t="s">
        <v>987</v>
      </c>
      <c r="C338" s="4" t="s">
        <v>77</v>
      </c>
      <c r="D338" s="16" t="s">
        <v>86</v>
      </c>
      <c r="E338" s="16" t="s">
        <v>87</v>
      </c>
      <c r="F338" s="16" t="s">
        <v>83</v>
      </c>
      <c r="G338" s="8"/>
      <c r="H338" s="8"/>
      <c r="I338" s="8"/>
    </row>
    <row r="339" spans="1:9" x14ac:dyDescent="0.25">
      <c r="A339" s="4" t="s">
        <v>340</v>
      </c>
      <c r="B339" s="4" t="s">
        <v>987</v>
      </c>
      <c r="C339" s="4" t="s">
        <v>77</v>
      </c>
      <c r="D339" s="16" t="s">
        <v>88</v>
      </c>
      <c r="E339" s="16" t="s">
        <v>88</v>
      </c>
      <c r="F339" s="16" t="s">
        <v>83</v>
      </c>
      <c r="G339" s="8"/>
      <c r="H339" s="8"/>
      <c r="I339" s="8"/>
    </row>
    <row r="340" spans="1:9" x14ac:dyDescent="0.25">
      <c r="A340" s="4" t="s">
        <v>340</v>
      </c>
      <c r="B340" s="4" t="s">
        <v>987</v>
      </c>
      <c r="C340" s="4" t="s">
        <v>77</v>
      </c>
      <c r="D340" s="16" t="s">
        <v>99</v>
      </c>
      <c r="E340" s="16" t="s">
        <v>99</v>
      </c>
      <c r="F340" s="16" t="s">
        <v>83</v>
      </c>
      <c r="G340" s="8"/>
      <c r="H340" s="8"/>
      <c r="I340" s="8"/>
    </row>
    <row r="341" spans="1:9" x14ac:dyDescent="0.25">
      <c r="A341" s="4" t="s">
        <v>340</v>
      </c>
      <c r="B341" s="4" t="s">
        <v>987</v>
      </c>
      <c r="C341" s="4" t="s">
        <v>77</v>
      </c>
      <c r="D341" s="16" t="s">
        <v>97</v>
      </c>
      <c r="E341" s="16" t="s">
        <v>98</v>
      </c>
      <c r="F341" s="16" t="s">
        <v>83</v>
      </c>
      <c r="G341" s="8"/>
      <c r="H341" s="8"/>
      <c r="I341" s="8"/>
    </row>
    <row r="342" spans="1:9" x14ac:dyDescent="0.25">
      <c r="A342" s="4" t="s">
        <v>340</v>
      </c>
      <c r="B342" s="4" t="s">
        <v>987</v>
      </c>
      <c r="C342" s="4" t="s">
        <v>77</v>
      </c>
      <c r="D342" s="16" t="s">
        <v>913</v>
      </c>
      <c r="E342" s="16" t="s">
        <v>913</v>
      </c>
      <c r="F342" s="16" t="s">
        <v>988</v>
      </c>
      <c r="G342" s="8"/>
      <c r="H342" s="8"/>
      <c r="I342" s="8"/>
    </row>
    <row r="343" spans="1:9" x14ac:dyDescent="0.25">
      <c r="A343" s="4" t="s">
        <v>340</v>
      </c>
      <c r="B343" s="4" t="s">
        <v>987</v>
      </c>
      <c r="C343" s="4" t="s">
        <v>77</v>
      </c>
      <c r="D343" s="16" t="s">
        <v>914</v>
      </c>
      <c r="E343" s="16" t="s">
        <v>914</v>
      </c>
      <c r="F343" s="16"/>
      <c r="G343" s="8"/>
      <c r="H343" s="8"/>
      <c r="I343" s="8"/>
    </row>
    <row r="344" spans="1:9" x14ac:dyDescent="0.25">
      <c r="A344" s="4" t="s">
        <v>340</v>
      </c>
      <c r="B344" s="4" t="s">
        <v>987</v>
      </c>
      <c r="C344" s="4" t="s">
        <v>77</v>
      </c>
      <c r="D344" s="16" t="s">
        <v>801</v>
      </c>
      <c r="E344" s="16" t="s">
        <v>801</v>
      </c>
      <c r="F344" s="16"/>
      <c r="G344" s="8"/>
      <c r="H344" s="8"/>
      <c r="I344" s="8"/>
    </row>
    <row r="345" spans="1:9" x14ac:dyDescent="0.25">
      <c r="A345" s="4" t="s">
        <v>340</v>
      </c>
      <c r="B345" s="4" t="s">
        <v>987</v>
      </c>
      <c r="C345" s="4" t="s">
        <v>95</v>
      </c>
      <c r="D345" s="16" t="s">
        <v>989</v>
      </c>
      <c r="E345" s="16"/>
      <c r="F345" s="16"/>
      <c r="G345" s="16" t="s">
        <v>909</v>
      </c>
      <c r="H345" s="16" t="s">
        <v>911</v>
      </c>
      <c r="I345" s="16" t="s">
        <v>911</v>
      </c>
    </row>
    <row r="346" spans="1:9" ht="30" x14ac:dyDescent="0.25">
      <c r="A346" s="4" t="s">
        <v>340</v>
      </c>
      <c r="B346" s="4" t="s">
        <v>987</v>
      </c>
      <c r="C346" s="4" t="s">
        <v>96</v>
      </c>
      <c r="D346" s="16" t="s">
        <v>274</v>
      </c>
      <c r="E346" s="16" t="s">
        <v>81</v>
      </c>
      <c r="F346" s="16" t="s">
        <v>83</v>
      </c>
      <c r="G346" s="16" t="s">
        <v>29</v>
      </c>
      <c r="H346" s="16" t="s">
        <v>59</v>
      </c>
      <c r="I346" s="16" t="s">
        <v>188</v>
      </c>
    </row>
    <row r="347" spans="1:9" ht="30" x14ac:dyDescent="0.25">
      <c r="A347" s="4" t="s">
        <v>340</v>
      </c>
      <c r="B347" s="4" t="s">
        <v>987</v>
      </c>
      <c r="C347" s="4" t="s">
        <v>96</v>
      </c>
      <c r="D347" s="16" t="s">
        <v>990</v>
      </c>
      <c r="E347" s="16" t="s">
        <v>81</v>
      </c>
      <c r="F347" s="16" t="s">
        <v>988</v>
      </c>
      <c r="G347" s="16" t="s">
        <v>4</v>
      </c>
      <c r="H347" s="16" t="s">
        <v>4</v>
      </c>
      <c r="I347" s="16" t="s">
        <v>192</v>
      </c>
    </row>
    <row r="348" spans="1:9" x14ac:dyDescent="0.25">
      <c r="A348" s="37"/>
      <c r="B348" s="37"/>
      <c r="C348" s="37"/>
      <c r="D348" s="37"/>
      <c r="E348" s="37"/>
      <c r="F348" s="37"/>
      <c r="G348" s="8"/>
      <c r="H348" s="8"/>
      <c r="I348" s="8"/>
    </row>
    <row r="349" spans="1:9" x14ac:dyDescent="0.25">
      <c r="A349" s="4" t="s">
        <v>340</v>
      </c>
      <c r="B349" s="4" t="s">
        <v>36</v>
      </c>
      <c r="C349" s="4" t="s">
        <v>77</v>
      </c>
      <c r="D349" s="16" t="s">
        <v>450</v>
      </c>
      <c r="E349" s="16" t="s">
        <v>450</v>
      </c>
      <c r="F349" s="8"/>
      <c r="G349" s="8"/>
      <c r="H349" s="8"/>
      <c r="I349" s="8"/>
    </row>
    <row r="350" spans="1:9" x14ac:dyDescent="0.25">
      <c r="A350" s="4" t="s">
        <v>340</v>
      </c>
      <c r="B350" s="4" t="s">
        <v>36</v>
      </c>
      <c r="C350" s="4" t="s">
        <v>77</v>
      </c>
      <c r="D350" s="16" t="s">
        <v>1013</v>
      </c>
      <c r="E350" s="16" t="s">
        <v>1013</v>
      </c>
      <c r="F350" s="8"/>
      <c r="G350" s="8"/>
      <c r="H350" s="8"/>
      <c r="I350" s="8"/>
    </row>
    <row r="351" spans="1:9" x14ac:dyDescent="0.25">
      <c r="A351" s="4" t="s">
        <v>340</v>
      </c>
      <c r="B351" s="4" t="s">
        <v>36</v>
      </c>
      <c r="C351" s="4" t="s">
        <v>77</v>
      </c>
      <c r="D351" s="16" t="s">
        <v>559</v>
      </c>
      <c r="E351" s="16" t="s">
        <v>559</v>
      </c>
      <c r="F351" s="8"/>
      <c r="G351" s="8"/>
      <c r="H351" s="8"/>
      <c r="I351" s="8"/>
    </row>
    <row r="352" spans="1:9" x14ac:dyDescent="0.25">
      <c r="A352" s="4" t="s">
        <v>340</v>
      </c>
      <c r="B352" s="4" t="s">
        <v>36</v>
      </c>
      <c r="C352" s="4" t="s">
        <v>77</v>
      </c>
      <c r="D352" s="16" t="s">
        <v>172</v>
      </c>
      <c r="E352" s="16" t="s">
        <v>172</v>
      </c>
      <c r="F352" s="8"/>
      <c r="G352" s="8"/>
      <c r="H352" s="8"/>
      <c r="I352" s="8"/>
    </row>
    <row r="353" spans="1:9" x14ac:dyDescent="0.25">
      <c r="A353" s="4" t="s">
        <v>340</v>
      </c>
      <c r="B353" s="4" t="s">
        <v>36</v>
      </c>
      <c r="C353" s="4" t="s">
        <v>77</v>
      </c>
      <c r="D353" s="16" t="s">
        <v>160</v>
      </c>
      <c r="E353" s="16" t="s">
        <v>160</v>
      </c>
      <c r="F353" s="8"/>
      <c r="G353" s="8"/>
      <c r="H353" s="8"/>
      <c r="I353" s="8"/>
    </row>
    <row r="354" spans="1:9" x14ac:dyDescent="0.25">
      <c r="A354" s="4" t="s">
        <v>340</v>
      </c>
      <c r="B354" s="4" t="s">
        <v>36</v>
      </c>
      <c r="C354" s="4" t="s">
        <v>77</v>
      </c>
      <c r="D354" s="16" t="s">
        <v>157</v>
      </c>
      <c r="E354" s="16" t="s">
        <v>157</v>
      </c>
      <c r="F354" s="8"/>
      <c r="G354" s="8"/>
      <c r="H354" s="8"/>
      <c r="I354" s="8"/>
    </row>
    <row r="355" spans="1:9" x14ac:dyDescent="0.25">
      <c r="A355" s="4" t="s">
        <v>340</v>
      </c>
      <c r="B355" s="4" t="s">
        <v>36</v>
      </c>
      <c r="C355" s="4" t="s">
        <v>77</v>
      </c>
      <c r="D355" s="16" t="s">
        <v>1014</v>
      </c>
      <c r="E355" s="16" t="s">
        <v>1014</v>
      </c>
      <c r="F355" s="8"/>
      <c r="G355" s="8"/>
      <c r="H355" s="8"/>
      <c r="I355" s="8"/>
    </row>
    <row r="356" spans="1:9" x14ac:dyDescent="0.25">
      <c r="A356" s="4" t="s">
        <v>340</v>
      </c>
      <c r="B356" s="4" t="s">
        <v>36</v>
      </c>
      <c r="C356" s="4" t="s">
        <v>77</v>
      </c>
      <c r="D356" s="16" t="s">
        <v>421</v>
      </c>
      <c r="E356" s="16" t="s">
        <v>1015</v>
      </c>
      <c r="F356" s="16" t="s">
        <v>284</v>
      </c>
      <c r="G356" s="8"/>
      <c r="H356" s="8"/>
      <c r="I356" s="8"/>
    </row>
    <row r="357" spans="1:9" x14ac:dyDescent="0.25">
      <c r="A357" s="4" t="s">
        <v>340</v>
      </c>
      <c r="B357" s="4" t="s">
        <v>36</v>
      </c>
      <c r="C357" s="4" t="s">
        <v>77</v>
      </c>
      <c r="D357" s="16" t="s">
        <v>1016</v>
      </c>
      <c r="E357" s="16" t="s">
        <v>1016</v>
      </c>
      <c r="F357" s="8"/>
      <c r="G357" s="8"/>
      <c r="H357" s="8"/>
      <c r="I357" s="8"/>
    </row>
    <row r="358" spans="1:9" x14ac:dyDescent="0.25">
      <c r="A358" s="4" t="s">
        <v>340</v>
      </c>
      <c r="B358" s="4" t="s">
        <v>36</v>
      </c>
      <c r="C358" s="4" t="s">
        <v>77</v>
      </c>
      <c r="D358" s="16" t="s">
        <v>1017</v>
      </c>
      <c r="E358" s="16" t="s">
        <v>1017</v>
      </c>
      <c r="F358" s="8"/>
      <c r="G358" s="8"/>
      <c r="H358" s="8"/>
      <c r="I358" s="8"/>
    </row>
    <row r="359" spans="1:9" x14ac:dyDescent="0.25">
      <c r="A359" s="4" t="s">
        <v>340</v>
      </c>
      <c r="B359" s="4" t="s">
        <v>36</v>
      </c>
      <c r="C359" s="4" t="s">
        <v>77</v>
      </c>
      <c r="D359" s="16" t="s">
        <v>1018</v>
      </c>
      <c r="E359" s="16" t="s">
        <v>1018</v>
      </c>
      <c r="F359" s="8"/>
      <c r="G359" s="8"/>
      <c r="H359" s="8"/>
      <c r="I359" s="8"/>
    </row>
    <row r="360" spans="1:9" x14ac:dyDescent="0.25">
      <c r="A360" s="4" t="s">
        <v>340</v>
      </c>
      <c r="B360" s="4" t="s">
        <v>36</v>
      </c>
      <c r="C360" s="4" t="s">
        <v>77</v>
      </c>
      <c r="D360" s="16" t="s">
        <v>1019</v>
      </c>
      <c r="E360" s="16" t="s">
        <v>1019</v>
      </c>
      <c r="F360" s="8"/>
      <c r="G360" s="8"/>
      <c r="H360" s="8"/>
      <c r="I360" s="8"/>
    </row>
    <row r="361" spans="1:9" x14ac:dyDescent="0.25">
      <c r="A361" s="4" t="s">
        <v>340</v>
      </c>
      <c r="B361" s="4" t="s">
        <v>36</v>
      </c>
      <c r="C361" s="4" t="s">
        <v>77</v>
      </c>
      <c r="D361" s="16" t="s">
        <v>1020</v>
      </c>
      <c r="E361" s="16" t="s">
        <v>1020</v>
      </c>
      <c r="F361" s="8"/>
      <c r="G361" s="8"/>
      <c r="H361" s="8"/>
      <c r="I361" s="8"/>
    </row>
    <row r="362" spans="1:9" x14ac:dyDescent="0.25">
      <c r="A362" s="4" t="s">
        <v>340</v>
      </c>
      <c r="B362" s="4" t="s">
        <v>36</v>
      </c>
      <c r="C362" s="4" t="s">
        <v>77</v>
      </c>
      <c r="D362" s="16" t="s">
        <v>1021</v>
      </c>
      <c r="E362" s="16" t="s">
        <v>1021</v>
      </c>
      <c r="F362" s="16" t="s">
        <v>104</v>
      </c>
      <c r="G362" s="8"/>
      <c r="H362" s="8"/>
      <c r="I362" s="8"/>
    </row>
    <row r="363" spans="1:9" x14ac:dyDescent="0.25">
      <c r="A363" s="4" t="s">
        <v>340</v>
      </c>
      <c r="B363" s="4" t="s">
        <v>36</v>
      </c>
      <c r="C363" s="4" t="s">
        <v>77</v>
      </c>
      <c r="D363" s="16" t="s">
        <v>1022</v>
      </c>
      <c r="E363" s="16" t="s">
        <v>1022</v>
      </c>
      <c r="F363" s="8"/>
      <c r="G363" s="8"/>
      <c r="H363" s="8"/>
      <c r="I363" s="8"/>
    </row>
    <row r="364" spans="1:9" x14ac:dyDescent="0.25">
      <c r="A364" s="4" t="s">
        <v>340</v>
      </c>
      <c r="B364" s="4" t="s">
        <v>36</v>
      </c>
      <c r="C364" s="4" t="s">
        <v>77</v>
      </c>
      <c r="D364" s="16" t="s">
        <v>1023</v>
      </c>
      <c r="E364" s="16" t="s">
        <v>81</v>
      </c>
      <c r="F364" s="8"/>
      <c r="G364" s="8"/>
      <c r="H364" s="8"/>
      <c r="I364" s="8"/>
    </row>
    <row r="365" spans="1:9" x14ac:dyDescent="0.25">
      <c r="A365" s="4" t="s">
        <v>340</v>
      </c>
      <c r="B365" s="4" t="s">
        <v>36</v>
      </c>
      <c r="C365" s="4" t="s">
        <v>77</v>
      </c>
      <c r="D365" s="16" t="s">
        <v>1024</v>
      </c>
      <c r="E365" s="16" t="s">
        <v>1024</v>
      </c>
      <c r="F365" s="8"/>
      <c r="G365" s="8"/>
      <c r="H365" s="8"/>
      <c r="I365" s="8"/>
    </row>
    <row r="366" spans="1:9" x14ac:dyDescent="0.25">
      <c r="A366" s="4" t="s">
        <v>340</v>
      </c>
      <c r="B366" s="4" t="s">
        <v>36</v>
      </c>
      <c r="C366" s="4" t="s">
        <v>77</v>
      </c>
      <c r="D366" s="16" t="s">
        <v>1025</v>
      </c>
      <c r="E366" s="16" t="s">
        <v>1025</v>
      </c>
      <c r="F366" s="8"/>
      <c r="G366" s="8"/>
      <c r="H366" s="8"/>
      <c r="I366" s="8"/>
    </row>
    <row r="367" spans="1:9" x14ac:dyDescent="0.25">
      <c r="A367" s="4" t="s">
        <v>340</v>
      </c>
      <c r="B367" s="4" t="s">
        <v>36</v>
      </c>
      <c r="C367" s="4" t="s">
        <v>77</v>
      </c>
      <c r="D367" s="16" t="s">
        <v>1026</v>
      </c>
      <c r="E367" s="16" t="s">
        <v>1026</v>
      </c>
      <c r="F367" s="8"/>
      <c r="G367" s="8"/>
      <c r="H367" s="8"/>
      <c r="I367" s="8"/>
    </row>
    <row r="368" spans="1:9" x14ac:dyDescent="0.25">
      <c r="A368" s="4" t="s">
        <v>340</v>
      </c>
      <c r="B368" s="4" t="s">
        <v>36</v>
      </c>
      <c r="C368" s="4" t="s">
        <v>77</v>
      </c>
      <c r="D368" s="16" t="s">
        <v>1027</v>
      </c>
      <c r="E368" s="16" t="s">
        <v>1015</v>
      </c>
      <c r="F368" s="16" t="s">
        <v>1028</v>
      </c>
      <c r="G368" s="8"/>
      <c r="H368" s="8"/>
      <c r="I368" s="8"/>
    </row>
    <row r="369" spans="1:9" x14ac:dyDescent="0.25">
      <c r="A369" s="4" t="s">
        <v>340</v>
      </c>
      <c r="B369" s="4" t="s">
        <v>36</v>
      </c>
      <c r="C369" s="4" t="s">
        <v>95</v>
      </c>
      <c r="D369" s="16" t="e">
        <f>I369&amp;".txt"</f>
        <v>#REF!</v>
      </c>
      <c r="E369" s="16"/>
      <c r="F369" s="47"/>
      <c r="G369" s="16" t="s">
        <v>36</v>
      </c>
      <c r="H369" s="16" t="s">
        <v>1011</v>
      </c>
      <c r="I369" s="16" t="e">
        <f>VLOOKUP(A369&amp;G369&amp;H369,#REF!,2,FALSE)</f>
        <v>#REF!</v>
      </c>
    </row>
    <row r="370" spans="1:9" x14ac:dyDescent="0.25">
      <c r="A370" s="4" t="s">
        <v>340</v>
      </c>
      <c r="B370" s="4" t="s">
        <v>36</v>
      </c>
      <c r="C370" s="4" t="s">
        <v>96</v>
      </c>
      <c r="D370" s="16" t="e">
        <f>I370&amp;".txt"</f>
        <v>#REF!</v>
      </c>
      <c r="E370" s="16" t="s">
        <v>81</v>
      </c>
      <c r="F370" s="16" t="s">
        <v>284</v>
      </c>
      <c r="G370" s="16" t="s">
        <v>313</v>
      </c>
      <c r="H370" s="16" t="s">
        <v>315</v>
      </c>
      <c r="I370" s="16" t="e">
        <f>VLOOKUP(A370&amp;G370&amp;H370,#REF!,2,FALSE)</f>
        <v>#REF!</v>
      </c>
    </row>
    <row r="371" spans="1:9" x14ac:dyDescent="0.25">
      <c r="A371" s="4" t="s">
        <v>340</v>
      </c>
      <c r="B371" s="4" t="s">
        <v>36</v>
      </c>
      <c r="C371" s="4" t="s">
        <v>96</v>
      </c>
      <c r="D371" s="16" t="e">
        <f>I371&amp;".txt"</f>
        <v>#REF!</v>
      </c>
      <c r="E371" s="16" t="s">
        <v>81</v>
      </c>
      <c r="F371" s="16" t="s">
        <v>1028</v>
      </c>
      <c r="G371" s="16" t="s">
        <v>313</v>
      </c>
      <c r="H371" s="16" t="s">
        <v>315</v>
      </c>
      <c r="I371" s="16" t="e">
        <f>VLOOKUP(A371&amp;G371&amp;H371,#REF!,2,FALSE)</f>
        <v>#REF!</v>
      </c>
    </row>
    <row r="372" spans="1:9" ht="30" x14ac:dyDescent="0.25">
      <c r="A372" s="4" t="s">
        <v>340</v>
      </c>
      <c r="B372" s="4" t="s">
        <v>36</v>
      </c>
      <c r="C372" s="4" t="s">
        <v>96</v>
      </c>
      <c r="D372" s="16" t="e">
        <f>I372&amp;".txt"</f>
        <v>#REF!</v>
      </c>
      <c r="E372" s="16" t="s">
        <v>81</v>
      </c>
      <c r="F372" s="16" t="s">
        <v>104</v>
      </c>
      <c r="G372" s="16" t="s">
        <v>29</v>
      </c>
      <c r="H372" s="16" t="s">
        <v>59</v>
      </c>
      <c r="I372" s="16" t="e">
        <f>VLOOKUP(A372&amp;G372&amp;H372,#REF!,2,FALSE)</f>
        <v>#REF!</v>
      </c>
    </row>
    <row r="373" spans="1:9" x14ac:dyDescent="0.25">
      <c r="A373" s="9"/>
      <c r="B373" s="9"/>
      <c r="C373" s="9"/>
      <c r="D373" s="9"/>
      <c r="E373" s="9"/>
      <c r="F373" s="9"/>
      <c r="G373" s="8"/>
      <c r="H373" s="8"/>
      <c r="I373" s="8"/>
    </row>
    <row r="374" spans="1:9" x14ac:dyDescent="0.25">
      <c r="A374" s="4" t="s">
        <v>340</v>
      </c>
      <c r="B374" s="4" t="s">
        <v>844</v>
      </c>
      <c r="C374" s="4" t="s">
        <v>77</v>
      </c>
      <c r="D374" s="16" t="s">
        <v>81</v>
      </c>
      <c r="E374" s="16" t="s">
        <v>845</v>
      </c>
      <c r="F374" s="8"/>
      <c r="G374" s="8"/>
      <c r="H374" s="8"/>
      <c r="I374" s="8"/>
    </row>
    <row r="375" spans="1:9" x14ac:dyDescent="0.25">
      <c r="A375" s="4" t="s">
        <v>340</v>
      </c>
      <c r="B375" s="4" t="s">
        <v>844</v>
      </c>
      <c r="C375" s="4" t="s">
        <v>77</v>
      </c>
      <c r="D375" s="16" t="s">
        <v>843</v>
      </c>
      <c r="E375" s="16" t="s">
        <v>843</v>
      </c>
      <c r="F375" s="8"/>
      <c r="G375" s="8"/>
      <c r="H375" s="8"/>
      <c r="I375" s="8"/>
    </row>
    <row r="376" spans="1:9" ht="45" x14ac:dyDescent="0.25">
      <c r="A376" s="4" t="s">
        <v>340</v>
      </c>
      <c r="B376" s="4" t="s">
        <v>844</v>
      </c>
      <c r="C376" s="4" t="s">
        <v>95</v>
      </c>
      <c r="D376" s="16" t="e">
        <f>I376&amp;".txt"</f>
        <v>#REF!</v>
      </c>
      <c r="E376" s="3"/>
      <c r="F376" s="3"/>
      <c r="G376" s="16" t="s">
        <v>836</v>
      </c>
      <c r="H376" s="16" t="s">
        <v>841</v>
      </c>
      <c r="I376" s="16" t="e">
        <f>VLOOKUP(A376&amp;G376&amp;H376,#REF!,2,FALSE)</f>
        <v>#REF!</v>
      </c>
    </row>
    <row r="377" spans="1:9" x14ac:dyDescent="0.25">
      <c r="G377" s="8"/>
      <c r="H377" s="8"/>
      <c r="I377" s="8"/>
    </row>
    <row r="378" spans="1:9" x14ac:dyDescent="0.25">
      <c r="G378" s="8"/>
      <c r="H378" s="8"/>
      <c r="I378" s="8"/>
    </row>
    <row r="379" spans="1:9" x14ac:dyDescent="0.25">
      <c r="A379" s="4" t="s">
        <v>604</v>
      </c>
      <c r="B379" s="4" t="s">
        <v>353</v>
      </c>
      <c r="C379" s="4" t="s">
        <v>77</v>
      </c>
      <c r="D379" s="16" t="s">
        <v>84</v>
      </c>
      <c r="E379" s="16" t="s">
        <v>81</v>
      </c>
      <c r="F379" s="3"/>
      <c r="G379" s="8"/>
      <c r="H379" s="8"/>
      <c r="I379" s="8"/>
    </row>
    <row r="380" spans="1:9" x14ac:dyDescent="0.25">
      <c r="A380" s="4" t="s">
        <v>604</v>
      </c>
      <c r="B380" s="4" t="s">
        <v>353</v>
      </c>
      <c r="C380" s="4" t="s">
        <v>77</v>
      </c>
      <c r="D380" s="16" t="s">
        <v>82</v>
      </c>
      <c r="E380" s="16" t="s">
        <v>79</v>
      </c>
      <c r="F380" s="3"/>
      <c r="G380" s="8"/>
      <c r="H380" s="8"/>
      <c r="I380" s="8"/>
    </row>
    <row r="381" spans="1:9" x14ac:dyDescent="0.25">
      <c r="A381" s="4" t="s">
        <v>604</v>
      </c>
      <c r="B381" s="4" t="s">
        <v>353</v>
      </c>
      <c r="C381" s="4" t="s">
        <v>77</v>
      </c>
      <c r="D381" s="16" t="s">
        <v>85</v>
      </c>
      <c r="E381" s="16" t="s">
        <v>85</v>
      </c>
      <c r="F381" s="3"/>
      <c r="G381" s="8"/>
      <c r="H381" s="8"/>
      <c r="I381" s="8"/>
    </row>
    <row r="382" spans="1:9" x14ac:dyDescent="0.25">
      <c r="A382" s="4" t="s">
        <v>604</v>
      </c>
      <c r="B382" s="4" t="s">
        <v>353</v>
      </c>
      <c r="C382" s="4" t="s">
        <v>77</v>
      </c>
      <c r="D382" s="16" t="s">
        <v>86</v>
      </c>
      <c r="E382" s="16" t="s">
        <v>87</v>
      </c>
      <c r="F382" s="3"/>
      <c r="G382" s="8"/>
      <c r="H382" s="8"/>
      <c r="I382" s="8"/>
    </row>
    <row r="383" spans="1:9" x14ac:dyDescent="0.25">
      <c r="A383" s="4" t="s">
        <v>604</v>
      </c>
      <c r="B383" s="4" t="s">
        <v>353</v>
      </c>
      <c r="C383" s="4" t="s">
        <v>77</v>
      </c>
      <c r="D383" s="16" t="s">
        <v>88</v>
      </c>
      <c r="E383" s="16" t="s">
        <v>88</v>
      </c>
      <c r="F383" s="3"/>
      <c r="G383" s="8"/>
      <c r="H383" s="8"/>
      <c r="I383" s="8"/>
    </row>
    <row r="384" spans="1:9" x14ac:dyDescent="0.25">
      <c r="A384" s="4" t="s">
        <v>604</v>
      </c>
      <c r="B384" s="4" t="s">
        <v>353</v>
      </c>
      <c r="C384" s="4" t="s">
        <v>77</v>
      </c>
      <c r="D384" s="16" t="s">
        <v>99</v>
      </c>
      <c r="E384" s="16" t="s">
        <v>99</v>
      </c>
      <c r="F384" s="3"/>
      <c r="G384" s="8"/>
      <c r="H384" s="8"/>
      <c r="I384" s="8"/>
    </row>
    <row r="385" spans="1:9" x14ac:dyDescent="0.25">
      <c r="A385" s="4" t="s">
        <v>604</v>
      </c>
      <c r="B385" s="4" t="s">
        <v>353</v>
      </c>
      <c r="C385" s="4" t="s">
        <v>77</v>
      </c>
      <c r="D385" s="16" t="s">
        <v>100</v>
      </c>
      <c r="E385" s="16" t="s">
        <v>475</v>
      </c>
      <c r="F385" s="3"/>
      <c r="G385" s="8"/>
      <c r="H385" s="8"/>
      <c r="I385" s="8"/>
    </row>
    <row r="386" spans="1:9" x14ac:dyDescent="0.25">
      <c r="A386" s="4" t="s">
        <v>604</v>
      </c>
      <c r="B386" s="4" t="s">
        <v>353</v>
      </c>
      <c r="C386" s="4" t="s">
        <v>77</v>
      </c>
      <c r="D386" s="16" t="s">
        <v>102</v>
      </c>
      <c r="E386" s="16" t="s">
        <v>102</v>
      </c>
      <c r="F386" s="3"/>
      <c r="G386" s="8"/>
      <c r="H386" s="8"/>
      <c r="I386" s="8"/>
    </row>
    <row r="387" spans="1:9" ht="30" x14ac:dyDescent="0.25">
      <c r="A387" s="4" t="s">
        <v>604</v>
      </c>
      <c r="B387" s="4" t="s">
        <v>353</v>
      </c>
      <c r="C387" s="4" t="s">
        <v>77</v>
      </c>
      <c r="D387" s="16" t="s">
        <v>354</v>
      </c>
      <c r="E387" s="16" t="s">
        <v>79</v>
      </c>
      <c r="F387" s="16" t="s">
        <v>104</v>
      </c>
      <c r="G387" s="8"/>
      <c r="H387" s="8"/>
      <c r="I387" s="8"/>
    </row>
    <row r="388" spans="1:9" x14ac:dyDescent="0.25">
      <c r="A388" s="4" t="s">
        <v>604</v>
      </c>
      <c r="B388" s="4" t="s">
        <v>353</v>
      </c>
      <c r="C388" s="4" t="s">
        <v>77</v>
      </c>
      <c r="D388" s="16" t="s">
        <v>107</v>
      </c>
      <c r="E388" s="16" t="s">
        <v>89</v>
      </c>
      <c r="F388" s="3"/>
      <c r="G388" s="8"/>
      <c r="H388" s="8"/>
      <c r="I388" s="8"/>
    </row>
    <row r="389" spans="1:9" x14ac:dyDescent="0.25">
      <c r="A389" s="4" t="s">
        <v>604</v>
      </c>
      <c r="B389" s="4" t="s">
        <v>353</v>
      </c>
      <c r="C389" s="4" t="s">
        <v>77</v>
      </c>
      <c r="D389" s="16" t="s">
        <v>428</v>
      </c>
      <c r="E389" s="16" t="s">
        <v>476</v>
      </c>
      <c r="F389" s="3"/>
      <c r="G389" s="8"/>
      <c r="H389" s="8"/>
      <c r="I389" s="8"/>
    </row>
    <row r="390" spans="1:9" x14ac:dyDescent="0.25">
      <c r="A390" s="4" t="s">
        <v>604</v>
      </c>
      <c r="B390" s="4" t="s">
        <v>353</v>
      </c>
      <c r="C390" s="4" t="s">
        <v>77</v>
      </c>
      <c r="D390" s="16" t="s">
        <v>356</v>
      </c>
      <c r="E390" s="16" t="s">
        <v>356</v>
      </c>
      <c r="F390" s="3"/>
      <c r="G390" s="8"/>
      <c r="H390" s="8"/>
      <c r="I390" s="8"/>
    </row>
    <row r="391" spans="1:9" x14ac:dyDescent="0.25">
      <c r="A391" s="4" t="s">
        <v>604</v>
      </c>
      <c r="B391" s="4" t="s">
        <v>353</v>
      </c>
      <c r="C391" s="4" t="s">
        <v>77</v>
      </c>
      <c r="D391" s="16" t="s">
        <v>357</v>
      </c>
      <c r="E391" s="16" t="s">
        <v>357</v>
      </c>
      <c r="F391" s="3"/>
      <c r="G391" s="8"/>
      <c r="H391" s="8"/>
      <c r="I391" s="8"/>
    </row>
    <row r="392" spans="1:9" x14ac:dyDescent="0.25">
      <c r="A392" s="4" t="s">
        <v>604</v>
      </c>
      <c r="B392" s="4" t="s">
        <v>353</v>
      </c>
      <c r="C392" s="4" t="s">
        <v>77</v>
      </c>
      <c r="D392" s="16" t="s">
        <v>358</v>
      </c>
      <c r="E392" s="16" t="s">
        <v>358</v>
      </c>
      <c r="F392" s="3"/>
      <c r="G392" s="8"/>
      <c r="H392" s="8"/>
      <c r="I392" s="8"/>
    </row>
    <row r="393" spans="1:9" x14ac:dyDescent="0.25">
      <c r="A393" s="4" t="s">
        <v>604</v>
      </c>
      <c r="B393" s="4" t="s">
        <v>353</v>
      </c>
      <c r="C393" s="4" t="s">
        <v>77</v>
      </c>
      <c r="D393" s="16" t="s">
        <v>359</v>
      </c>
      <c r="E393" s="16" t="s">
        <v>359</v>
      </c>
      <c r="F393" s="3"/>
      <c r="G393" s="8"/>
      <c r="H393" s="8"/>
      <c r="I393" s="8"/>
    </row>
    <row r="394" spans="1:9" x14ac:dyDescent="0.25">
      <c r="A394" s="4" t="s">
        <v>604</v>
      </c>
      <c r="B394" s="4" t="s">
        <v>353</v>
      </c>
      <c r="C394" s="4" t="s">
        <v>77</v>
      </c>
      <c r="D394" s="16" t="s">
        <v>360</v>
      </c>
      <c r="E394" s="16" t="s">
        <v>360</v>
      </c>
      <c r="F394" s="3"/>
      <c r="G394" s="8"/>
      <c r="H394" s="8"/>
      <c r="I394" s="8"/>
    </row>
    <row r="395" spans="1:9" x14ac:dyDescent="0.25">
      <c r="A395" s="4" t="s">
        <v>604</v>
      </c>
      <c r="B395" s="4" t="s">
        <v>353</v>
      </c>
      <c r="C395" s="4" t="s">
        <v>77</v>
      </c>
      <c r="D395" s="16" t="s">
        <v>361</v>
      </c>
      <c r="E395" s="16" t="s">
        <v>361</v>
      </c>
      <c r="F395" s="3"/>
      <c r="G395" s="8"/>
      <c r="H395" s="8"/>
      <c r="I395" s="8"/>
    </row>
    <row r="396" spans="1:9" ht="30" x14ac:dyDescent="0.25">
      <c r="A396" s="4" t="s">
        <v>604</v>
      </c>
      <c r="B396" s="4" t="s">
        <v>353</v>
      </c>
      <c r="C396" s="4" t="s">
        <v>95</v>
      </c>
      <c r="D396" s="16" t="e">
        <f>I396&amp;".txt"</f>
        <v>#REF!</v>
      </c>
      <c r="E396" s="16" t="s">
        <v>81</v>
      </c>
      <c r="F396" s="3"/>
      <c r="G396" s="16" t="s">
        <v>2</v>
      </c>
      <c r="H396" s="16" t="s">
        <v>59</v>
      </c>
      <c r="I396" s="16" t="e">
        <f>VLOOKUP(A396&amp;G396&amp;H396,#REF!,2,FALSE)</f>
        <v>#REF!</v>
      </c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x14ac:dyDescent="0.25">
      <c r="A398" s="4" t="s">
        <v>604</v>
      </c>
      <c r="B398" s="4" t="s">
        <v>259</v>
      </c>
      <c r="C398" s="4" t="s">
        <v>77</v>
      </c>
      <c r="D398" s="22" t="s">
        <v>749</v>
      </c>
      <c r="E398" s="22" t="s">
        <v>203</v>
      </c>
      <c r="F398" s="4"/>
      <c r="G398" s="8"/>
      <c r="H398" s="8"/>
      <c r="I398" s="8"/>
    </row>
    <row r="399" spans="1:9" x14ac:dyDescent="0.25">
      <c r="A399" s="4" t="s">
        <v>604</v>
      </c>
      <c r="B399" s="4" t="s">
        <v>259</v>
      </c>
      <c r="C399" s="4" t="s">
        <v>77</v>
      </c>
      <c r="D399" s="22" t="s">
        <v>729</v>
      </c>
      <c r="E399" s="22" t="s">
        <v>203</v>
      </c>
      <c r="F399" s="4"/>
      <c r="G399" s="8"/>
      <c r="H399" s="8"/>
      <c r="I399" s="8"/>
    </row>
    <row r="400" spans="1:9" x14ac:dyDescent="0.25">
      <c r="A400" s="4" t="s">
        <v>604</v>
      </c>
      <c r="B400" s="4" t="s">
        <v>259</v>
      </c>
      <c r="C400" s="4" t="s">
        <v>77</v>
      </c>
      <c r="D400" s="22" t="s">
        <v>750</v>
      </c>
      <c r="E400" s="22" t="s">
        <v>203</v>
      </c>
      <c r="F400" s="4"/>
      <c r="G400" s="8"/>
      <c r="H400" s="8"/>
      <c r="I400" s="8"/>
    </row>
    <row r="401" spans="1:9" x14ac:dyDescent="0.25">
      <c r="A401" s="4" t="s">
        <v>604</v>
      </c>
      <c r="B401" s="4" t="s">
        <v>259</v>
      </c>
      <c r="C401" s="4" t="s">
        <v>77</v>
      </c>
      <c r="D401" s="22" t="s">
        <v>751</v>
      </c>
      <c r="E401" s="22" t="s">
        <v>203</v>
      </c>
      <c r="F401" s="4"/>
      <c r="G401" s="8"/>
      <c r="H401" s="8"/>
      <c r="I401" s="8"/>
    </row>
    <row r="402" spans="1:9" x14ac:dyDescent="0.25">
      <c r="A402" s="4" t="s">
        <v>604</v>
      </c>
      <c r="B402" s="4" t="s">
        <v>259</v>
      </c>
      <c r="C402" s="4" t="s">
        <v>77</v>
      </c>
      <c r="D402" s="22" t="s">
        <v>752</v>
      </c>
      <c r="E402" s="22" t="s">
        <v>203</v>
      </c>
      <c r="F402" s="4"/>
      <c r="G402" s="8"/>
      <c r="H402" s="8"/>
      <c r="I402" s="8"/>
    </row>
    <row r="403" spans="1:9" x14ac:dyDescent="0.25">
      <c r="A403" s="4" t="s">
        <v>604</v>
      </c>
      <c r="B403" s="4" t="s">
        <v>259</v>
      </c>
      <c r="C403" s="4" t="s">
        <v>77</v>
      </c>
      <c r="D403" s="22" t="s">
        <v>733</v>
      </c>
      <c r="E403" s="22" t="s">
        <v>203</v>
      </c>
      <c r="F403" s="4"/>
      <c r="G403" s="8"/>
      <c r="H403" s="8"/>
      <c r="I403" s="8"/>
    </row>
    <row r="404" spans="1:9" x14ac:dyDescent="0.25">
      <c r="A404" s="4" t="s">
        <v>604</v>
      </c>
      <c r="B404" s="4" t="s">
        <v>259</v>
      </c>
      <c r="C404" s="4" t="s">
        <v>77</v>
      </c>
      <c r="D404" s="22" t="s">
        <v>734</v>
      </c>
      <c r="E404" s="22" t="s">
        <v>203</v>
      </c>
      <c r="F404" s="4"/>
      <c r="G404" s="8"/>
      <c r="H404" s="8"/>
      <c r="I404" s="8"/>
    </row>
    <row r="405" spans="1:9" x14ac:dyDescent="0.25">
      <c r="A405" s="4" t="s">
        <v>604</v>
      </c>
      <c r="B405" s="4" t="s">
        <v>259</v>
      </c>
      <c r="C405" s="4" t="s">
        <v>77</v>
      </c>
      <c r="D405" s="22" t="s">
        <v>753</v>
      </c>
      <c r="E405" s="22" t="s">
        <v>203</v>
      </c>
      <c r="F405" s="4"/>
      <c r="G405" s="8"/>
      <c r="H405" s="8"/>
      <c r="I405" s="8"/>
    </row>
    <row r="406" spans="1:9" x14ac:dyDescent="0.25">
      <c r="A406" s="4" t="s">
        <v>604</v>
      </c>
      <c r="B406" s="4" t="s">
        <v>259</v>
      </c>
      <c r="C406" s="4" t="s">
        <v>77</v>
      </c>
      <c r="D406" s="22" t="s">
        <v>754</v>
      </c>
      <c r="E406" s="22" t="s">
        <v>203</v>
      </c>
      <c r="F406" s="4"/>
      <c r="G406" s="8"/>
      <c r="H406" s="8"/>
      <c r="I406" s="8"/>
    </row>
    <row r="407" spans="1:9" x14ac:dyDescent="0.25">
      <c r="A407" s="4" t="s">
        <v>604</v>
      </c>
      <c r="B407" s="4" t="s">
        <v>259</v>
      </c>
      <c r="C407" s="4" t="s">
        <v>77</v>
      </c>
      <c r="D407" s="22" t="s">
        <v>878</v>
      </c>
      <c r="E407" s="22" t="s">
        <v>203</v>
      </c>
      <c r="F407" s="3"/>
      <c r="G407" s="8"/>
      <c r="H407" s="8"/>
      <c r="I407" s="8"/>
    </row>
    <row r="408" spans="1:9" x14ac:dyDescent="0.25">
      <c r="A408" s="4" t="s">
        <v>604</v>
      </c>
      <c r="B408" s="4" t="s">
        <v>259</v>
      </c>
      <c r="C408" s="4" t="s">
        <v>77</v>
      </c>
      <c r="D408" s="40" t="s">
        <v>84</v>
      </c>
      <c r="E408" s="16" t="s">
        <v>81</v>
      </c>
      <c r="F408" s="4"/>
      <c r="G408" s="8"/>
      <c r="H408" s="8"/>
      <c r="I408" s="8"/>
    </row>
    <row r="409" spans="1:9" x14ac:dyDescent="0.25">
      <c r="A409" s="4" t="s">
        <v>604</v>
      </c>
      <c r="B409" s="4" t="s">
        <v>259</v>
      </c>
      <c r="C409" s="4" t="s">
        <v>77</v>
      </c>
      <c r="D409" s="40" t="s">
        <v>857</v>
      </c>
      <c r="E409" s="16" t="s">
        <v>79</v>
      </c>
      <c r="F409" s="4"/>
      <c r="G409" s="8"/>
      <c r="H409" s="8"/>
      <c r="I409" s="8"/>
    </row>
    <row r="410" spans="1:9" x14ac:dyDescent="0.25">
      <c r="A410" s="4" t="s">
        <v>604</v>
      </c>
      <c r="B410" s="4" t="s">
        <v>259</v>
      </c>
      <c r="C410" s="4" t="s">
        <v>77</v>
      </c>
      <c r="D410" s="40" t="s">
        <v>85</v>
      </c>
      <c r="E410" s="16" t="s">
        <v>85</v>
      </c>
      <c r="F410" s="4"/>
      <c r="G410" s="8"/>
      <c r="H410" s="8"/>
      <c r="I410" s="8"/>
    </row>
    <row r="411" spans="1:9" x14ac:dyDescent="0.25">
      <c r="A411" s="4" t="s">
        <v>604</v>
      </c>
      <c r="B411" s="4" t="s">
        <v>259</v>
      </c>
      <c r="C411" s="4" t="s">
        <v>77</v>
      </c>
      <c r="D411" s="40" t="s">
        <v>86</v>
      </c>
      <c r="E411" s="16" t="s">
        <v>87</v>
      </c>
      <c r="F411" s="4"/>
      <c r="G411" s="8"/>
      <c r="H411" s="8"/>
      <c r="I411" s="8"/>
    </row>
    <row r="412" spans="1:9" x14ac:dyDescent="0.25">
      <c r="A412" s="4" t="s">
        <v>604</v>
      </c>
      <c r="B412" s="4" t="s">
        <v>259</v>
      </c>
      <c r="C412" s="4" t="s">
        <v>77</v>
      </c>
      <c r="D412" s="40" t="s">
        <v>88</v>
      </c>
      <c r="E412" s="16" t="s">
        <v>88</v>
      </c>
      <c r="F412" s="4"/>
      <c r="G412" s="8"/>
      <c r="H412" s="8"/>
      <c r="I412" s="8"/>
    </row>
    <row r="413" spans="1:9" x14ac:dyDescent="0.25">
      <c r="A413" s="4" t="s">
        <v>604</v>
      </c>
      <c r="B413" s="4" t="s">
        <v>259</v>
      </c>
      <c r="C413" s="4" t="s">
        <v>77</v>
      </c>
      <c r="D413" s="40" t="s">
        <v>97</v>
      </c>
      <c r="E413" s="16" t="s">
        <v>98</v>
      </c>
      <c r="F413" s="4"/>
      <c r="G413" s="8"/>
      <c r="H413" s="8"/>
      <c r="I413" s="8"/>
    </row>
    <row r="414" spans="1:9" x14ac:dyDescent="0.25">
      <c r="A414" s="4" t="s">
        <v>604</v>
      </c>
      <c r="B414" s="4" t="s">
        <v>259</v>
      </c>
      <c r="C414" s="4" t="s">
        <v>77</v>
      </c>
      <c r="D414" s="41" t="s">
        <v>99</v>
      </c>
      <c r="E414" s="16" t="s">
        <v>99</v>
      </c>
      <c r="F414" s="4"/>
      <c r="G414" s="8"/>
      <c r="H414" s="8"/>
      <c r="I414" s="8"/>
    </row>
    <row r="415" spans="1:9" x14ac:dyDescent="0.25">
      <c r="A415" s="4" t="s">
        <v>604</v>
      </c>
      <c r="B415" s="4" t="s">
        <v>259</v>
      </c>
      <c r="C415" s="4" t="s">
        <v>77</v>
      </c>
      <c r="D415" s="13" t="s">
        <v>860</v>
      </c>
      <c r="E415" s="16" t="s">
        <v>860</v>
      </c>
      <c r="F415" s="4"/>
      <c r="G415" s="8"/>
      <c r="H415" s="8"/>
      <c r="I415" s="8"/>
    </row>
    <row r="416" spans="1:9" x14ac:dyDescent="0.25">
      <c r="A416" s="4" t="s">
        <v>604</v>
      </c>
      <c r="B416" s="4" t="s">
        <v>259</v>
      </c>
      <c r="C416" s="4" t="s">
        <v>77</v>
      </c>
      <c r="D416" s="40" t="s">
        <v>100</v>
      </c>
      <c r="E416" s="16" t="s">
        <v>101</v>
      </c>
      <c r="F416" s="4"/>
      <c r="G416" s="8"/>
      <c r="H416" s="8"/>
      <c r="I416" s="8"/>
    </row>
    <row r="417" spans="1:9" x14ac:dyDescent="0.25">
      <c r="A417" s="4" t="s">
        <v>604</v>
      </c>
      <c r="B417" s="4" t="s">
        <v>259</v>
      </c>
      <c r="C417" s="4" t="s">
        <v>77</v>
      </c>
      <c r="D417" s="13" t="s">
        <v>861</v>
      </c>
      <c r="E417" s="16" t="s">
        <v>861</v>
      </c>
      <c r="F417" s="4"/>
      <c r="G417" s="8"/>
      <c r="H417" s="8"/>
      <c r="I417" s="8"/>
    </row>
    <row r="418" spans="1:9" x14ac:dyDescent="0.25">
      <c r="A418" s="4" t="s">
        <v>604</v>
      </c>
      <c r="B418" s="4" t="s">
        <v>259</v>
      </c>
      <c r="C418" s="4" t="s">
        <v>77</v>
      </c>
      <c r="D418" s="13" t="s">
        <v>102</v>
      </c>
      <c r="E418" s="16" t="s">
        <v>102</v>
      </c>
      <c r="F418" s="4"/>
      <c r="G418" s="8"/>
      <c r="H418" s="8"/>
      <c r="I418" s="8"/>
    </row>
    <row r="419" spans="1:9" x14ac:dyDescent="0.25">
      <c r="A419" s="4" t="s">
        <v>604</v>
      </c>
      <c r="B419" s="4" t="s">
        <v>259</v>
      </c>
      <c r="C419" s="4" t="s">
        <v>77</v>
      </c>
      <c r="D419" s="13" t="s">
        <v>25</v>
      </c>
      <c r="E419" s="16" t="s">
        <v>25</v>
      </c>
      <c r="F419" s="4"/>
      <c r="G419" s="8"/>
      <c r="H419" s="8"/>
      <c r="I419" s="8"/>
    </row>
    <row r="420" spans="1:9" x14ac:dyDescent="0.25">
      <c r="A420" s="4" t="s">
        <v>604</v>
      </c>
      <c r="B420" s="4" t="s">
        <v>259</v>
      </c>
      <c r="C420" s="4" t="s">
        <v>77</v>
      </c>
      <c r="D420" s="13" t="s">
        <v>103</v>
      </c>
      <c r="E420" s="16" t="s">
        <v>103</v>
      </c>
      <c r="F420" s="4"/>
      <c r="G420" s="8"/>
      <c r="H420" s="8"/>
      <c r="I420" s="8"/>
    </row>
    <row r="421" spans="1:9" x14ac:dyDescent="0.25">
      <c r="A421" s="4" t="s">
        <v>604</v>
      </c>
      <c r="B421" s="4" t="s">
        <v>259</v>
      </c>
      <c r="C421" s="4" t="s">
        <v>77</v>
      </c>
      <c r="D421" s="42" t="s">
        <v>858</v>
      </c>
      <c r="E421" s="16" t="s">
        <v>79</v>
      </c>
      <c r="F421" s="16" t="s">
        <v>104</v>
      </c>
      <c r="G421" s="8"/>
      <c r="H421" s="8"/>
      <c r="I421" s="8"/>
    </row>
    <row r="422" spans="1:9" x14ac:dyDescent="0.25">
      <c r="A422" s="4" t="s">
        <v>604</v>
      </c>
      <c r="B422" s="4" t="s">
        <v>259</v>
      </c>
      <c r="C422" s="4" t="s">
        <v>77</v>
      </c>
      <c r="D422" s="42" t="s">
        <v>89</v>
      </c>
      <c r="E422" s="16" t="s">
        <v>89</v>
      </c>
      <c r="F422" s="4"/>
      <c r="G422" s="8"/>
      <c r="H422" s="8"/>
      <c r="I422" s="8"/>
    </row>
    <row r="423" spans="1:9" x14ac:dyDescent="0.25">
      <c r="A423" s="4" t="s">
        <v>604</v>
      </c>
      <c r="B423" s="4" t="s">
        <v>259</v>
      </c>
      <c r="C423" s="4" t="s">
        <v>77</v>
      </c>
      <c r="D423" s="42" t="s">
        <v>90</v>
      </c>
      <c r="E423" s="16" t="s">
        <v>90</v>
      </c>
      <c r="F423" s="4"/>
      <c r="G423" s="8"/>
      <c r="H423" s="8"/>
      <c r="I423" s="8"/>
    </row>
    <row r="424" spans="1:9" x14ac:dyDescent="0.25">
      <c r="A424" s="4" t="s">
        <v>604</v>
      </c>
      <c r="B424" s="4" t="s">
        <v>259</v>
      </c>
      <c r="C424" s="4" t="s">
        <v>77</v>
      </c>
      <c r="D424" s="13" t="s">
        <v>862</v>
      </c>
      <c r="E424" s="16" t="s">
        <v>862</v>
      </c>
      <c r="F424" s="4"/>
      <c r="G424" s="8"/>
      <c r="H424" s="8"/>
      <c r="I424" s="8"/>
    </row>
    <row r="425" spans="1:9" x14ac:dyDescent="0.25">
      <c r="A425" s="4" t="s">
        <v>604</v>
      </c>
      <c r="B425" s="4" t="s">
        <v>259</v>
      </c>
      <c r="C425" s="4" t="s">
        <v>77</v>
      </c>
      <c r="D425" s="16" t="s">
        <v>93</v>
      </c>
      <c r="E425" s="16" t="s">
        <v>93</v>
      </c>
      <c r="F425" s="4"/>
      <c r="G425" s="8"/>
      <c r="H425" s="8"/>
      <c r="I425" s="8"/>
    </row>
    <row r="426" spans="1:9" x14ac:dyDescent="0.25">
      <c r="A426" s="4" t="s">
        <v>604</v>
      </c>
      <c r="B426" s="4" t="s">
        <v>259</v>
      </c>
      <c r="C426" s="4" t="s">
        <v>77</v>
      </c>
      <c r="D426" s="42" t="s">
        <v>859</v>
      </c>
      <c r="E426" s="16" t="s">
        <v>94</v>
      </c>
      <c r="F426" s="4"/>
      <c r="G426" s="8"/>
      <c r="H426" s="8"/>
      <c r="I426" s="8"/>
    </row>
    <row r="427" spans="1:9" x14ac:dyDescent="0.25">
      <c r="A427" s="4" t="s">
        <v>604</v>
      </c>
      <c r="B427" s="4" t="s">
        <v>259</v>
      </c>
      <c r="C427" s="4" t="s">
        <v>77</v>
      </c>
      <c r="D427" s="16" t="s">
        <v>863</v>
      </c>
      <c r="E427" s="16" t="s">
        <v>863</v>
      </c>
      <c r="F427" s="4"/>
      <c r="G427" s="8"/>
      <c r="H427" s="8"/>
      <c r="I427" s="8"/>
    </row>
    <row r="428" spans="1:9" x14ac:dyDescent="0.25">
      <c r="A428" s="4" t="s">
        <v>604</v>
      </c>
      <c r="B428" s="4" t="s">
        <v>259</v>
      </c>
      <c r="C428" s="4" t="s">
        <v>77</v>
      </c>
      <c r="D428" s="16" t="s">
        <v>864</v>
      </c>
      <c r="E428" s="16" t="s">
        <v>864</v>
      </c>
      <c r="F428" s="4"/>
      <c r="G428" s="8"/>
      <c r="H428" s="8"/>
      <c r="I428" s="8"/>
    </row>
    <row r="429" spans="1:9" x14ac:dyDescent="0.25">
      <c r="A429" s="4" t="s">
        <v>604</v>
      </c>
      <c r="B429" s="4" t="s">
        <v>259</v>
      </c>
      <c r="C429" s="4" t="s">
        <v>77</v>
      </c>
      <c r="D429" s="16" t="s">
        <v>865</v>
      </c>
      <c r="E429" s="16" t="s">
        <v>865</v>
      </c>
      <c r="F429" s="4"/>
      <c r="G429" s="8"/>
      <c r="H429" s="8"/>
      <c r="I429" s="8"/>
    </row>
    <row r="430" spans="1:9" x14ac:dyDescent="0.25">
      <c r="A430" s="4" t="s">
        <v>604</v>
      </c>
      <c r="B430" s="4" t="s">
        <v>259</v>
      </c>
      <c r="C430" s="4" t="s">
        <v>77</v>
      </c>
      <c r="D430" s="16" t="s">
        <v>866</v>
      </c>
      <c r="E430" s="16" t="s">
        <v>866</v>
      </c>
      <c r="F430" s="4"/>
      <c r="G430" s="8"/>
      <c r="H430" s="8"/>
      <c r="I430" s="8"/>
    </row>
    <row r="431" spans="1:9" x14ac:dyDescent="0.25">
      <c r="A431" s="4" t="s">
        <v>604</v>
      </c>
      <c r="B431" s="4" t="s">
        <v>259</v>
      </c>
      <c r="C431" s="4" t="s">
        <v>77</v>
      </c>
      <c r="D431" s="16" t="s">
        <v>867</v>
      </c>
      <c r="E431" s="16" t="s">
        <v>867</v>
      </c>
      <c r="F431" s="4"/>
      <c r="G431" s="8"/>
      <c r="H431" s="8"/>
      <c r="I431" s="8"/>
    </row>
    <row r="432" spans="1:9" ht="30" x14ac:dyDescent="0.25">
      <c r="A432" s="4" t="s">
        <v>604</v>
      </c>
      <c r="B432" s="4" t="s">
        <v>259</v>
      </c>
      <c r="C432" s="4" t="s">
        <v>95</v>
      </c>
      <c r="D432" s="16" t="e">
        <f>I432&amp;".txt"</f>
        <v>#REF!</v>
      </c>
      <c r="E432" s="16" t="s">
        <v>81</v>
      </c>
      <c r="F432" s="16" t="s">
        <v>104</v>
      </c>
      <c r="G432" s="16" t="s">
        <v>2</v>
      </c>
      <c r="H432" s="16" t="s">
        <v>59</v>
      </c>
      <c r="I432" s="16" t="e">
        <f>VLOOKUP(A432&amp;G432&amp;H432,#REF!,2,FALSE)</f>
        <v>#REF!</v>
      </c>
    </row>
    <row r="433" spans="1:9" x14ac:dyDescent="0.25">
      <c r="A433" s="4"/>
      <c r="B433" s="4"/>
      <c r="C433" s="4"/>
      <c r="D433" s="4"/>
      <c r="E433" s="4"/>
      <c r="F433" s="4"/>
      <c r="G433" s="8"/>
      <c r="H433" s="8"/>
      <c r="I433" s="8"/>
    </row>
    <row r="434" spans="1:9" x14ac:dyDescent="0.25">
      <c r="G434" s="8"/>
      <c r="H434" s="8"/>
      <c r="I434" s="8"/>
    </row>
    <row r="435" spans="1:9" x14ac:dyDescent="0.25">
      <c r="A435" s="13" t="s">
        <v>11</v>
      </c>
      <c r="B435" s="46" t="s">
        <v>29</v>
      </c>
      <c r="C435" s="4" t="s">
        <v>77</v>
      </c>
      <c r="D435" s="103" t="s">
        <v>477</v>
      </c>
      <c r="E435" s="103" t="s">
        <v>477</v>
      </c>
      <c r="F435" s="8"/>
      <c r="G435" s="8"/>
      <c r="H435" s="8"/>
      <c r="I435" s="8"/>
    </row>
    <row r="436" spans="1:9" x14ac:dyDescent="0.25">
      <c r="A436" s="13" t="s">
        <v>11</v>
      </c>
      <c r="B436" s="46" t="s">
        <v>29</v>
      </c>
      <c r="C436" s="4" t="s">
        <v>77</v>
      </c>
      <c r="D436" s="103" t="s">
        <v>961</v>
      </c>
      <c r="E436" s="103" t="s">
        <v>81</v>
      </c>
      <c r="F436" s="8"/>
      <c r="G436" s="8"/>
      <c r="H436" s="8"/>
      <c r="I436" s="8"/>
    </row>
    <row r="437" spans="1:9" x14ac:dyDescent="0.25">
      <c r="A437" s="13" t="s">
        <v>11</v>
      </c>
      <c r="B437" s="46" t="s">
        <v>29</v>
      </c>
      <c r="C437" s="4" t="s">
        <v>77</v>
      </c>
      <c r="D437" s="103" t="s">
        <v>82</v>
      </c>
      <c r="E437" s="103" t="s">
        <v>79</v>
      </c>
      <c r="F437" s="8"/>
      <c r="G437" s="8"/>
      <c r="H437" s="8"/>
      <c r="I437" s="8"/>
    </row>
    <row r="438" spans="1:9" x14ac:dyDescent="0.25">
      <c r="A438" s="13" t="s">
        <v>11</v>
      </c>
      <c r="B438" s="46" t="s">
        <v>29</v>
      </c>
      <c r="C438" s="4" t="s">
        <v>77</v>
      </c>
      <c r="D438" s="103" t="s">
        <v>85</v>
      </c>
      <c r="E438" s="103" t="s">
        <v>85</v>
      </c>
      <c r="F438" s="8"/>
      <c r="G438" s="8"/>
      <c r="H438" s="8"/>
      <c r="I438" s="8"/>
    </row>
    <row r="439" spans="1:9" x14ac:dyDescent="0.25">
      <c r="A439" s="13" t="s">
        <v>11</v>
      </c>
      <c r="B439" s="46" t="s">
        <v>29</v>
      </c>
      <c r="C439" s="4" t="s">
        <v>77</v>
      </c>
      <c r="D439" s="103" t="s">
        <v>86</v>
      </c>
      <c r="E439" s="103" t="s">
        <v>87</v>
      </c>
      <c r="F439" s="8"/>
      <c r="G439" s="8"/>
      <c r="H439" s="8"/>
      <c r="I439" s="8"/>
    </row>
    <row r="440" spans="1:9" x14ac:dyDescent="0.25">
      <c r="A440" s="13" t="s">
        <v>11</v>
      </c>
      <c r="B440" s="46" t="s">
        <v>29</v>
      </c>
      <c r="C440" s="4" t="s">
        <v>77</v>
      </c>
      <c r="D440" s="103" t="s">
        <v>88</v>
      </c>
      <c r="E440" s="103" t="s">
        <v>88</v>
      </c>
      <c r="F440" s="8"/>
      <c r="G440" s="8"/>
      <c r="H440" s="8"/>
      <c r="I440" s="8"/>
    </row>
    <row r="441" spans="1:9" x14ac:dyDescent="0.25">
      <c r="A441" s="13" t="s">
        <v>11</v>
      </c>
      <c r="B441" s="46" t="s">
        <v>29</v>
      </c>
      <c r="C441" s="4" t="s">
        <v>77</v>
      </c>
      <c r="D441" s="103" t="s">
        <v>97</v>
      </c>
      <c r="E441" s="103" t="s">
        <v>98</v>
      </c>
      <c r="F441" s="8"/>
      <c r="G441" s="8"/>
      <c r="H441" s="8"/>
      <c r="I441" s="8"/>
    </row>
    <row r="442" spans="1:9" x14ac:dyDescent="0.25">
      <c r="A442" s="13" t="s">
        <v>11</v>
      </c>
      <c r="B442" s="46" t="s">
        <v>29</v>
      </c>
      <c r="C442" s="4" t="s">
        <v>77</v>
      </c>
      <c r="D442" s="103" t="s">
        <v>99</v>
      </c>
      <c r="E442" s="103" t="s">
        <v>99</v>
      </c>
      <c r="F442" s="8"/>
      <c r="G442" s="8"/>
      <c r="H442" s="8"/>
      <c r="I442" s="8"/>
    </row>
    <row r="443" spans="1:9" x14ac:dyDescent="0.25">
      <c r="A443" s="13" t="s">
        <v>11</v>
      </c>
      <c r="B443" s="46" t="s">
        <v>29</v>
      </c>
      <c r="C443" s="4" t="s">
        <v>77</v>
      </c>
      <c r="D443" s="103" t="s">
        <v>100</v>
      </c>
      <c r="E443" s="103" t="s">
        <v>101</v>
      </c>
      <c r="F443" s="8"/>
      <c r="G443" s="8"/>
      <c r="H443" s="8"/>
      <c r="I443" s="8"/>
    </row>
    <row r="444" spans="1:9" x14ac:dyDescent="0.25">
      <c r="A444" s="13" t="s">
        <v>11</v>
      </c>
      <c r="B444" s="46" t="s">
        <v>29</v>
      </c>
      <c r="C444" s="4" t="s">
        <v>77</v>
      </c>
      <c r="D444" s="103" t="s">
        <v>102</v>
      </c>
      <c r="E444" s="103" t="s">
        <v>102</v>
      </c>
      <c r="F444" s="8"/>
      <c r="G444" s="8"/>
      <c r="H444" s="8"/>
      <c r="I444" s="8"/>
    </row>
    <row r="445" spans="1:9" x14ac:dyDescent="0.25">
      <c r="A445" s="13" t="s">
        <v>11</v>
      </c>
      <c r="B445" s="46" t="s">
        <v>29</v>
      </c>
      <c r="C445" s="4" t="s">
        <v>77</v>
      </c>
      <c r="D445" s="103" t="s">
        <v>25</v>
      </c>
      <c r="E445" s="103" t="s">
        <v>333</v>
      </c>
      <c r="F445" s="8"/>
      <c r="G445" s="8"/>
      <c r="H445" s="8"/>
      <c r="I445" s="8"/>
    </row>
    <row r="446" spans="1:9" x14ac:dyDescent="0.25">
      <c r="A446" s="13" t="s">
        <v>11</v>
      </c>
      <c r="B446" s="46" t="s">
        <v>29</v>
      </c>
      <c r="C446" s="4" t="s">
        <v>77</v>
      </c>
      <c r="D446" s="104" t="s">
        <v>78</v>
      </c>
      <c r="E446" s="104" t="s">
        <v>79</v>
      </c>
      <c r="F446" s="104" t="s">
        <v>104</v>
      </c>
      <c r="H446" s="8"/>
      <c r="I446" s="8"/>
    </row>
    <row r="447" spans="1:9" x14ac:dyDescent="0.25">
      <c r="A447" s="13" t="s">
        <v>11</v>
      </c>
      <c r="B447" s="46" t="s">
        <v>29</v>
      </c>
      <c r="C447" s="4" t="s">
        <v>77</v>
      </c>
      <c r="D447" s="103" t="s">
        <v>89</v>
      </c>
      <c r="E447" s="103" t="s">
        <v>89</v>
      </c>
      <c r="F447" s="8"/>
      <c r="G447" s="8"/>
      <c r="H447" s="8"/>
      <c r="I447" s="8"/>
    </row>
    <row r="448" spans="1:9" ht="30" x14ac:dyDescent="0.25">
      <c r="A448" s="13" t="s">
        <v>11</v>
      </c>
      <c r="B448" s="46" t="s">
        <v>29</v>
      </c>
      <c r="C448" s="4" t="s">
        <v>77</v>
      </c>
      <c r="D448" s="104" t="s">
        <v>90</v>
      </c>
      <c r="E448" s="104" t="s">
        <v>1050</v>
      </c>
      <c r="F448" s="104" t="s">
        <v>204</v>
      </c>
      <c r="G448" s="8"/>
      <c r="H448" s="8"/>
      <c r="I448" s="8"/>
    </row>
    <row r="449" spans="1:9" x14ac:dyDescent="0.25">
      <c r="A449" s="13" t="s">
        <v>11</v>
      </c>
      <c r="B449" s="46" t="s">
        <v>29</v>
      </c>
      <c r="C449" s="4" t="s">
        <v>77</v>
      </c>
      <c r="D449" s="104" t="s">
        <v>93</v>
      </c>
      <c r="E449" s="104" t="s">
        <v>93</v>
      </c>
      <c r="F449" s="104" t="s">
        <v>104</v>
      </c>
      <c r="G449" s="8"/>
      <c r="H449" s="8"/>
      <c r="I449" s="8"/>
    </row>
    <row r="450" spans="1:9" x14ac:dyDescent="0.25">
      <c r="A450" s="13" t="s">
        <v>11</v>
      </c>
      <c r="B450" s="46" t="s">
        <v>29</v>
      </c>
      <c r="C450" s="4" t="s">
        <v>77</v>
      </c>
      <c r="D450" s="104" t="s">
        <v>94</v>
      </c>
      <c r="E450" s="104" t="s">
        <v>94</v>
      </c>
      <c r="F450" s="104" t="s">
        <v>104</v>
      </c>
      <c r="G450" s="8"/>
      <c r="H450" s="8"/>
      <c r="I450" s="8"/>
    </row>
    <row r="451" spans="1:9" x14ac:dyDescent="0.25">
      <c r="A451" s="13" t="s">
        <v>11</v>
      </c>
      <c r="B451" s="46" t="s">
        <v>29</v>
      </c>
      <c r="C451" s="4" t="s">
        <v>77</v>
      </c>
      <c r="D451" s="103" t="s">
        <v>487</v>
      </c>
      <c r="E451" s="103" t="s">
        <v>487</v>
      </c>
      <c r="F451" s="8"/>
      <c r="G451" s="8"/>
      <c r="H451" s="8"/>
      <c r="I451" s="8"/>
    </row>
    <row r="452" spans="1:9" x14ac:dyDescent="0.25">
      <c r="A452" s="13" t="s">
        <v>11</v>
      </c>
      <c r="B452" s="46" t="s">
        <v>29</v>
      </c>
      <c r="C452" s="4" t="s">
        <v>77</v>
      </c>
      <c r="D452" s="103" t="s">
        <v>863</v>
      </c>
      <c r="E452" s="103" t="s">
        <v>863</v>
      </c>
      <c r="F452" s="8"/>
      <c r="G452" s="8"/>
      <c r="H452" s="8"/>
      <c r="I452" s="8"/>
    </row>
    <row r="453" spans="1:9" x14ac:dyDescent="0.25">
      <c r="A453" s="13" t="s">
        <v>11</v>
      </c>
      <c r="B453" s="46" t="s">
        <v>29</v>
      </c>
      <c r="C453" s="4" t="s">
        <v>77</v>
      </c>
      <c r="D453" s="104" t="s">
        <v>912</v>
      </c>
      <c r="E453" s="49" t="s">
        <v>1036</v>
      </c>
      <c r="F453" s="8"/>
      <c r="G453" s="8"/>
      <c r="H453" s="8"/>
      <c r="I453" s="8"/>
    </row>
    <row r="454" spans="1:9" x14ac:dyDescent="0.25">
      <c r="A454" s="13" t="s">
        <v>11</v>
      </c>
      <c r="B454" s="46" t="s">
        <v>29</v>
      </c>
      <c r="C454" s="4" t="s">
        <v>77</v>
      </c>
      <c r="D454" s="104" t="s">
        <v>913</v>
      </c>
      <c r="E454" s="49" t="s">
        <v>1036</v>
      </c>
      <c r="F454" s="8"/>
      <c r="G454" s="8"/>
      <c r="H454" s="8"/>
      <c r="I454" s="8"/>
    </row>
    <row r="455" spans="1:9" x14ac:dyDescent="0.25">
      <c r="A455" s="13" t="s">
        <v>11</v>
      </c>
      <c r="B455" s="46" t="s">
        <v>29</v>
      </c>
      <c r="C455" s="4" t="s">
        <v>77</v>
      </c>
      <c r="D455" s="104" t="s">
        <v>914</v>
      </c>
      <c r="E455" s="49" t="s">
        <v>1036</v>
      </c>
      <c r="F455" s="8"/>
      <c r="G455" s="8"/>
      <c r="H455" s="8"/>
      <c r="I455" s="8"/>
    </row>
    <row r="456" spans="1:9" x14ac:dyDescent="0.25">
      <c r="A456" s="13" t="s">
        <v>11</v>
      </c>
      <c r="B456" s="46" t="s">
        <v>29</v>
      </c>
      <c r="C456" s="4" t="s">
        <v>77</v>
      </c>
      <c r="D456" s="104" t="s">
        <v>801</v>
      </c>
      <c r="E456" s="49" t="s">
        <v>1036</v>
      </c>
      <c r="F456" s="8"/>
      <c r="G456" s="8"/>
      <c r="H456" s="8"/>
      <c r="I456" s="8"/>
    </row>
    <row r="457" spans="1:9" x14ac:dyDescent="0.25">
      <c r="A457" s="13" t="s">
        <v>11</v>
      </c>
      <c r="B457" s="46" t="s">
        <v>29</v>
      </c>
      <c r="C457" s="4" t="s">
        <v>77</v>
      </c>
      <c r="D457" s="103" t="s">
        <v>105</v>
      </c>
      <c r="E457" s="103" t="s">
        <v>105</v>
      </c>
      <c r="F457" s="8"/>
      <c r="G457" s="8"/>
      <c r="H457" s="8"/>
      <c r="I457" s="8"/>
    </row>
    <row r="458" spans="1:9" x14ac:dyDescent="0.25">
      <c r="A458" s="13" t="s">
        <v>11</v>
      </c>
      <c r="B458" s="46" t="s">
        <v>29</v>
      </c>
      <c r="C458" s="4" t="s">
        <v>77</v>
      </c>
      <c r="D458" s="64" t="s">
        <v>749</v>
      </c>
      <c r="E458" s="22" t="s">
        <v>203</v>
      </c>
      <c r="F458" s="8"/>
      <c r="G458" s="8"/>
      <c r="H458" s="8"/>
      <c r="I458" s="8"/>
    </row>
    <row r="459" spans="1:9" x14ac:dyDescent="0.25">
      <c r="A459" s="13" t="s">
        <v>11</v>
      </c>
      <c r="B459" s="46" t="s">
        <v>29</v>
      </c>
      <c r="C459" s="4" t="s">
        <v>77</v>
      </c>
      <c r="D459" s="64" t="s">
        <v>729</v>
      </c>
      <c r="E459" s="22" t="s">
        <v>203</v>
      </c>
      <c r="F459" s="8"/>
      <c r="G459" s="8"/>
      <c r="H459" s="8"/>
      <c r="I459" s="8"/>
    </row>
    <row r="460" spans="1:9" x14ac:dyDescent="0.25">
      <c r="A460" s="13" t="s">
        <v>11</v>
      </c>
      <c r="B460" s="46" t="s">
        <v>29</v>
      </c>
      <c r="C460" s="4" t="s">
        <v>77</v>
      </c>
      <c r="D460" s="64" t="s">
        <v>750</v>
      </c>
      <c r="E460" s="22" t="s">
        <v>203</v>
      </c>
      <c r="F460" s="8"/>
      <c r="G460" s="8"/>
      <c r="H460" s="8"/>
      <c r="I460" s="8"/>
    </row>
    <row r="461" spans="1:9" x14ac:dyDescent="0.25">
      <c r="A461" s="13" t="s">
        <v>11</v>
      </c>
      <c r="B461" s="46" t="s">
        <v>29</v>
      </c>
      <c r="C461" s="4" t="s">
        <v>77</v>
      </c>
      <c r="D461" s="64" t="s">
        <v>1031</v>
      </c>
      <c r="E461" s="22" t="s">
        <v>203</v>
      </c>
      <c r="F461" s="8"/>
      <c r="G461" s="8"/>
      <c r="H461" s="8"/>
      <c r="I461" s="8"/>
    </row>
    <row r="462" spans="1:9" x14ac:dyDescent="0.25">
      <c r="A462" s="13" t="s">
        <v>11</v>
      </c>
      <c r="B462" s="46" t="s">
        <v>29</v>
      </c>
      <c r="C462" s="4" t="s">
        <v>77</v>
      </c>
      <c r="D462" s="64" t="s">
        <v>1032</v>
      </c>
      <c r="E462" s="22" t="s">
        <v>203</v>
      </c>
      <c r="F462" s="8"/>
      <c r="G462" s="8"/>
      <c r="H462" s="8"/>
      <c r="I462" s="8"/>
    </row>
    <row r="463" spans="1:9" x14ac:dyDescent="0.25">
      <c r="A463" s="13" t="s">
        <v>11</v>
      </c>
      <c r="B463" s="46" t="s">
        <v>29</v>
      </c>
      <c r="C463" s="4" t="s">
        <v>77</v>
      </c>
      <c r="D463" s="64" t="s">
        <v>751</v>
      </c>
      <c r="E463" s="22" t="s">
        <v>203</v>
      </c>
      <c r="F463" s="8"/>
      <c r="G463" s="8"/>
      <c r="H463" s="8"/>
      <c r="I463" s="8"/>
    </row>
    <row r="464" spans="1:9" x14ac:dyDescent="0.25">
      <c r="A464" s="13" t="s">
        <v>11</v>
      </c>
      <c r="B464" s="46" t="s">
        <v>29</v>
      </c>
      <c r="C464" s="4" t="s">
        <v>77</v>
      </c>
      <c r="D464" s="64" t="s">
        <v>752</v>
      </c>
      <c r="E464" s="22" t="s">
        <v>203</v>
      </c>
      <c r="F464" s="8"/>
      <c r="G464" s="8"/>
      <c r="H464" s="8"/>
      <c r="I464" s="8"/>
    </row>
    <row r="465" spans="1:9" x14ac:dyDescent="0.25">
      <c r="A465" s="13" t="s">
        <v>11</v>
      </c>
      <c r="B465" s="46" t="s">
        <v>29</v>
      </c>
      <c r="C465" s="4" t="s">
        <v>77</v>
      </c>
      <c r="D465" s="64" t="s">
        <v>733</v>
      </c>
      <c r="E465" s="22" t="s">
        <v>203</v>
      </c>
      <c r="F465" s="8"/>
      <c r="G465" s="8"/>
      <c r="H465" s="8"/>
      <c r="I465" s="8"/>
    </row>
    <row r="466" spans="1:9" x14ac:dyDescent="0.25">
      <c r="A466" s="13" t="s">
        <v>11</v>
      </c>
      <c r="B466" s="46" t="s">
        <v>29</v>
      </c>
      <c r="C466" s="4" t="s">
        <v>77</v>
      </c>
      <c r="D466" s="64" t="s">
        <v>1033</v>
      </c>
      <c r="E466" s="22" t="s">
        <v>203</v>
      </c>
      <c r="F466" s="8"/>
      <c r="G466" s="8"/>
      <c r="H466" s="8"/>
      <c r="I466" s="8"/>
    </row>
    <row r="467" spans="1:9" x14ac:dyDescent="0.25">
      <c r="A467" s="13" t="s">
        <v>11</v>
      </c>
      <c r="B467" s="46" t="s">
        <v>29</v>
      </c>
      <c r="C467" s="4" t="s">
        <v>77</v>
      </c>
      <c r="D467" s="64" t="s">
        <v>753</v>
      </c>
      <c r="E467" s="22" t="s">
        <v>203</v>
      </c>
      <c r="F467" s="8"/>
      <c r="G467" s="8"/>
      <c r="H467" s="8"/>
      <c r="I467" s="8"/>
    </row>
    <row r="468" spans="1:9" x14ac:dyDescent="0.25">
      <c r="A468" s="13" t="s">
        <v>11</v>
      </c>
      <c r="B468" s="46" t="s">
        <v>29</v>
      </c>
      <c r="C468" s="4" t="s">
        <v>77</v>
      </c>
      <c r="D468" s="64" t="s">
        <v>754</v>
      </c>
      <c r="E468" s="22" t="s">
        <v>203</v>
      </c>
      <c r="F468" s="8"/>
      <c r="G468" s="8"/>
      <c r="H468" s="8"/>
      <c r="I468" s="8"/>
    </row>
    <row r="469" spans="1:9" x14ac:dyDescent="0.25">
      <c r="A469" s="13" t="s">
        <v>11</v>
      </c>
      <c r="B469" s="46" t="s">
        <v>29</v>
      </c>
      <c r="C469" s="4" t="s">
        <v>77</v>
      </c>
      <c r="D469" s="64" t="s">
        <v>878</v>
      </c>
      <c r="E469" s="22" t="s">
        <v>203</v>
      </c>
      <c r="F469" s="8"/>
      <c r="G469" s="8"/>
      <c r="H469" s="8"/>
      <c r="I469" s="8"/>
    </row>
    <row r="470" spans="1:9" x14ac:dyDescent="0.25">
      <c r="A470" s="13" t="s">
        <v>11</v>
      </c>
      <c r="B470" s="46" t="s">
        <v>29</v>
      </c>
      <c r="C470" s="4" t="s">
        <v>77</v>
      </c>
      <c r="D470" s="64" t="s">
        <v>946</v>
      </c>
      <c r="E470" s="22" t="s">
        <v>203</v>
      </c>
      <c r="F470" s="8"/>
      <c r="G470" s="8"/>
      <c r="H470" s="8"/>
      <c r="I470" s="8"/>
    </row>
    <row r="471" spans="1:9" x14ac:dyDescent="0.25">
      <c r="A471" s="13" t="s">
        <v>11</v>
      </c>
      <c r="B471" s="46" t="s">
        <v>29</v>
      </c>
      <c r="C471" s="4" t="s">
        <v>77</v>
      </c>
      <c r="D471" s="64" t="s">
        <v>1132</v>
      </c>
      <c r="E471" s="22" t="s">
        <v>203</v>
      </c>
      <c r="F471" s="8"/>
      <c r="G471" s="8"/>
      <c r="H471" s="8"/>
      <c r="I471" s="8"/>
    </row>
    <row r="472" spans="1:9" x14ac:dyDescent="0.25">
      <c r="A472" s="13" t="s">
        <v>11</v>
      </c>
      <c r="B472" s="46" t="s">
        <v>29</v>
      </c>
      <c r="C472" s="4" t="s">
        <v>77</v>
      </c>
      <c r="D472" s="64" t="s">
        <v>1133</v>
      </c>
      <c r="E472" s="22" t="s">
        <v>203</v>
      </c>
      <c r="F472" s="8"/>
      <c r="G472" s="8"/>
      <c r="H472" s="8"/>
      <c r="I472" s="8"/>
    </row>
    <row r="473" spans="1:9" x14ac:dyDescent="0.25">
      <c r="A473" s="13" t="s">
        <v>11</v>
      </c>
      <c r="B473" s="46" t="s">
        <v>29</v>
      </c>
      <c r="C473" s="4" t="s">
        <v>77</v>
      </c>
      <c r="D473" s="64" t="s">
        <v>1134</v>
      </c>
      <c r="E473" s="22" t="s">
        <v>203</v>
      </c>
      <c r="F473" s="8"/>
      <c r="G473" s="8"/>
      <c r="H473" s="8"/>
      <c r="I473" s="8"/>
    </row>
    <row r="474" spans="1:9" x14ac:dyDescent="0.25">
      <c r="A474" s="13" t="s">
        <v>11</v>
      </c>
      <c r="B474" s="46" t="s">
        <v>29</v>
      </c>
      <c r="C474" s="4" t="s">
        <v>77</v>
      </c>
      <c r="D474" s="64" t="s">
        <v>1135</v>
      </c>
      <c r="E474" s="22" t="s">
        <v>203</v>
      </c>
      <c r="F474" s="8"/>
      <c r="G474" s="8"/>
      <c r="H474" s="8"/>
      <c r="I474" s="8"/>
    </row>
    <row r="475" spans="1:9" x14ac:dyDescent="0.25">
      <c r="A475" s="13" t="s">
        <v>11</v>
      </c>
      <c r="B475" s="46" t="s">
        <v>29</v>
      </c>
      <c r="C475" s="4" t="s">
        <v>77</v>
      </c>
      <c r="D475" s="64" t="s">
        <v>1136</v>
      </c>
      <c r="E475" s="22" t="s">
        <v>203</v>
      </c>
      <c r="F475" s="8"/>
      <c r="G475" s="8"/>
      <c r="H475" s="8"/>
      <c r="I475" s="8"/>
    </row>
    <row r="476" spans="1:9" ht="30" x14ac:dyDescent="0.25">
      <c r="A476" s="13" t="s">
        <v>11</v>
      </c>
      <c r="B476" s="46" t="s">
        <v>29</v>
      </c>
      <c r="C476" s="4" t="s">
        <v>95</v>
      </c>
      <c r="D476" s="16" t="str">
        <f>I476&amp;".txt"</f>
        <v>ratm-export.txt</v>
      </c>
      <c r="E476" s="16" t="s">
        <v>81</v>
      </c>
      <c r="F476" s="47"/>
      <c r="G476" s="16" t="s">
        <v>2</v>
      </c>
      <c r="H476" s="16" t="s">
        <v>59</v>
      </c>
      <c r="I476" s="16" t="s">
        <v>188</v>
      </c>
    </row>
    <row r="477" spans="1:9" ht="30" x14ac:dyDescent="0.25">
      <c r="A477" s="13" t="s">
        <v>11</v>
      </c>
      <c r="B477" s="46" t="s">
        <v>29</v>
      </c>
      <c r="C477" s="4" t="s">
        <v>96</v>
      </c>
      <c r="D477" s="16" t="str">
        <f>I477&amp;".txt"</f>
        <v>rvtm-all-export.txt</v>
      </c>
      <c r="E477" s="16" t="s">
        <v>81</v>
      </c>
      <c r="F477" s="16" t="s">
        <v>104</v>
      </c>
      <c r="G477" s="16" t="s">
        <v>7</v>
      </c>
      <c r="H477" s="16" t="s">
        <v>976</v>
      </c>
      <c r="I477" s="16" t="s">
        <v>492</v>
      </c>
    </row>
    <row r="478" spans="1:9" ht="30" x14ac:dyDescent="0.25">
      <c r="A478" s="13" t="s">
        <v>11</v>
      </c>
      <c r="B478" s="46" t="s">
        <v>29</v>
      </c>
      <c r="C478" s="4" t="s">
        <v>96</v>
      </c>
      <c r="D478" s="16" t="str">
        <f>I478&amp;".txt"</f>
        <v>document-register-export.txt</v>
      </c>
      <c r="E478" s="16" t="s">
        <v>81</v>
      </c>
      <c r="F478" s="16" t="s">
        <v>92</v>
      </c>
      <c r="G478" s="16" t="s">
        <v>4</v>
      </c>
      <c r="H478" s="16" t="s">
        <v>4</v>
      </c>
      <c r="I478" s="16" t="s">
        <v>192</v>
      </c>
    </row>
    <row r="479" spans="1:9" x14ac:dyDescent="0.25">
      <c r="A479" s="13" t="s">
        <v>11</v>
      </c>
      <c r="B479" s="13" t="s">
        <v>255</v>
      </c>
      <c r="C479" s="4" t="s">
        <v>77</v>
      </c>
      <c r="D479" s="16" t="s">
        <v>78</v>
      </c>
      <c r="E479" s="16" t="s">
        <v>79</v>
      </c>
      <c r="F479" s="8"/>
      <c r="G479" s="8"/>
      <c r="H479" s="8"/>
      <c r="I479" s="8"/>
    </row>
    <row r="480" spans="1:9" x14ac:dyDescent="0.25">
      <c r="A480" s="13" t="s">
        <v>11</v>
      </c>
      <c r="B480" s="13" t="s">
        <v>255</v>
      </c>
      <c r="C480" s="4" t="s">
        <v>77</v>
      </c>
      <c r="D480" s="16" t="s">
        <v>977</v>
      </c>
      <c r="E480" s="16" t="s">
        <v>872</v>
      </c>
      <c r="F480" s="16" t="s">
        <v>879</v>
      </c>
      <c r="G480" s="8"/>
      <c r="H480" s="8"/>
      <c r="I480" s="8"/>
    </row>
    <row r="481" spans="1:9" x14ac:dyDescent="0.25">
      <c r="A481" s="13" t="s">
        <v>11</v>
      </c>
      <c r="B481" s="13" t="s">
        <v>255</v>
      </c>
      <c r="C481" s="4" t="s">
        <v>77</v>
      </c>
      <c r="D481" s="16" t="s">
        <v>978</v>
      </c>
      <c r="E481" s="16" t="s">
        <v>873</v>
      </c>
      <c r="F481" s="16" t="s">
        <v>879</v>
      </c>
      <c r="G481" s="8"/>
      <c r="H481" s="8"/>
      <c r="I481" s="8"/>
    </row>
    <row r="482" spans="1:9" x14ac:dyDescent="0.25">
      <c r="A482" s="13" t="s">
        <v>11</v>
      </c>
      <c r="B482" s="13" t="s">
        <v>255</v>
      </c>
      <c r="C482" s="4" t="s">
        <v>77</v>
      </c>
      <c r="D482" s="16" t="s">
        <v>979</v>
      </c>
      <c r="E482" s="16" t="s">
        <v>856</v>
      </c>
      <c r="F482" s="16" t="s">
        <v>879</v>
      </c>
      <c r="G482" s="8"/>
      <c r="H482" s="8"/>
      <c r="I482" s="8"/>
    </row>
    <row r="483" spans="1:9" x14ac:dyDescent="0.25">
      <c r="A483" s="13" t="s">
        <v>11</v>
      </c>
      <c r="B483" s="13" t="s">
        <v>255</v>
      </c>
      <c r="C483" s="4" t="s">
        <v>77</v>
      </c>
      <c r="D483" s="16" t="s">
        <v>980</v>
      </c>
      <c r="E483" s="16" t="s">
        <v>874</v>
      </c>
      <c r="F483" s="16" t="s">
        <v>879</v>
      </c>
      <c r="G483" s="8"/>
      <c r="H483" s="8"/>
      <c r="I483" s="8"/>
    </row>
    <row r="484" spans="1:9" x14ac:dyDescent="0.25">
      <c r="A484" s="13" t="s">
        <v>11</v>
      </c>
      <c r="B484" s="13" t="s">
        <v>255</v>
      </c>
      <c r="C484" s="4" t="s">
        <v>77</v>
      </c>
      <c r="D484" s="16" t="s">
        <v>80</v>
      </c>
      <c r="E484" s="16" t="s">
        <v>81</v>
      </c>
      <c r="F484" s="8"/>
      <c r="G484" s="8"/>
      <c r="H484" s="8"/>
      <c r="I484" s="8"/>
    </row>
    <row r="485" spans="1:9" x14ac:dyDescent="0.25">
      <c r="A485" s="13" t="s">
        <v>11</v>
      </c>
      <c r="B485" s="13" t="s">
        <v>255</v>
      </c>
      <c r="C485" s="4" t="s">
        <v>77</v>
      </c>
      <c r="D485" s="16" t="s">
        <v>82</v>
      </c>
      <c r="E485" s="16" t="s">
        <v>79</v>
      </c>
      <c r="F485" s="16" t="s">
        <v>83</v>
      </c>
      <c r="G485" s="8"/>
      <c r="H485" s="8"/>
      <c r="I485" s="8"/>
    </row>
    <row r="486" spans="1:9" x14ac:dyDescent="0.25">
      <c r="A486" s="13" t="s">
        <v>11</v>
      </c>
      <c r="B486" s="13" t="s">
        <v>255</v>
      </c>
      <c r="C486" s="4" t="s">
        <v>77</v>
      </c>
      <c r="D486" s="16" t="s">
        <v>84</v>
      </c>
      <c r="E486" s="16" t="s">
        <v>81</v>
      </c>
      <c r="F486" s="16" t="s">
        <v>83</v>
      </c>
      <c r="G486" s="8"/>
      <c r="H486" s="8"/>
      <c r="I486" s="8"/>
    </row>
    <row r="487" spans="1:9" x14ac:dyDescent="0.25">
      <c r="A487" s="13" t="s">
        <v>11</v>
      </c>
      <c r="B487" s="13" t="s">
        <v>255</v>
      </c>
      <c r="C487" s="4" t="s">
        <v>77</v>
      </c>
      <c r="D487" s="16" t="s">
        <v>99</v>
      </c>
      <c r="E487" s="16" t="s">
        <v>99</v>
      </c>
      <c r="F487" s="16" t="s">
        <v>83</v>
      </c>
      <c r="G487" s="8"/>
      <c r="H487" s="8"/>
      <c r="I487" s="8"/>
    </row>
    <row r="488" spans="1:9" x14ac:dyDescent="0.25">
      <c r="A488" s="13" t="s">
        <v>11</v>
      </c>
      <c r="B488" s="13" t="s">
        <v>255</v>
      </c>
      <c r="C488" s="4" t="s">
        <v>77</v>
      </c>
      <c r="D488" s="16" t="s">
        <v>85</v>
      </c>
      <c r="E488" s="16" t="s">
        <v>85</v>
      </c>
      <c r="F488" s="16" t="s">
        <v>83</v>
      </c>
      <c r="G488" s="8"/>
      <c r="H488" s="8"/>
      <c r="I488" s="8"/>
    </row>
    <row r="489" spans="1:9" x14ac:dyDescent="0.25">
      <c r="A489" s="13" t="s">
        <v>11</v>
      </c>
      <c r="B489" s="13" t="s">
        <v>255</v>
      </c>
      <c r="C489" s="4" t="s">
        <v>77</v>
      </c>
      <c r="D489" s="16" t="s">
        <v>86</v>
      </c>
      <c r="E489" s="16" t="s">
        <v>87</v>
      </c>
      <c r="F489" s="16" t="s">
        <v>83</v>
      </c>
      <c r="G489" s="8"/>
      <c r="H489" s="8"/>
      <c r="I489" s="8"/>
    </row>
    <row r="490" spans="1:9" x14ac:dyDescent="0.25">
      <c r="A490" s="13" t="s">
        <v>11</v>
      </c>
      <c r="B490" s="13" t="s">
        <v>255</v>
      </c>
      <c r="C490" s="4" t="s">
        <v>77</v>
      </c>
      <c r="D490" s="16" t="s">
        <v>88</v>
      </c>
      <c r="E490" s="16" t="s">
        <v>88</v>
      </c>
      <c r="F490" s="16" t="s">
        <v>83</v>
      </c>
      <c r="G490" s="8"/>
      <c r="H490" s="8"/>
      <c r="I490" s="8"/>
    </row>
    <row r="491" spans="1:9" x14ac:dyDescent="0.25">
      <c r="A491" s="13" t="s">
        <v>11</v>
      </c>
      <c r="B491" s="13" t="s">
        <v>255</v>
      </c>
      <c r="C491" s="4" t="s">
        <v>77</v>
      </c>
      <c r="D491" s="16" t="s">
        <v>25</v>
      </c>
      <c r="E491" s="16" t="s">
        <v>333</v>
      </c>
      <c r="F491" s="16" t="s">
        <v>83</v>
      </c>
      <c r="G491" s="8"/>
      <c r="H491" s="8"/>
      <c r="I491" s="8"/>
    </row>
    <row r="492" spans="1:9" x14ac:dyDescent="0.25">
      <c r="A492" s="13" t="s">
        <v>11</v>
      </c>
      <c r="B492" s="13" t="s">
        <v>255</v>
      </c>
      <c r="C492" s="4" t="s">
        <v>77</v>
      </c>
      <c r="D492" s="16" t="s">
        <v>89</v>
      </c>
      <c r="E492" s="16" t="s">
        <v>89</v>
      </c>
      <c r="F492" s="8"/>
      <c r="G492" s="8"/>
      <c r="H492" s="8"/>
      <c r="I492" s="8"/>
    </row>
    <row r="493" spans="1:9" x14ac:dyDescent="0.25">
      <c r="A493" s="13" t="s">
        <v>11</v>
      </c>
      <c r="B493" s="13" t="s">
        <v>255</v>
      </c>
      <c r="C493" s="4" t="s">
        <v>77</v>
      </c>
      <c r="D493" s="16" t="s">
        <v>93</v>
      </c>
      <c r="E493" s="16" t="s">
        <v>93</v>
      </c>
      <c r="F493" s="8"/>
      <c r="G493" s="8"/>
      <c r="H493" s="8"/>
      <c r="I493" s="8"/>
    </row>
    <row r="494" spans="1:9" x14ac:dyDescent="0.25">
      <c r="A494" s="13" t="s">
        <v>11</v>
      </c>
      <c r="B494" s="13" t="s">
        <v>255</v>
      </c>
      <c r="C494" s="4" t="s">
        <v>77</v>
      </c>
      <c r="D494" s="16" t="s">
        <v>973</v>
      </c>
      <c r="E494" s="16" t="s">
        <v>379</v>
      </c>
      <c r="F494" s="16" t="s">
        <v>92</v>
      </c>
      <c r="G494" s="8"/>
      <c r="H494" s="8"/>
      <c r="I494" s="8"/>
    </row>
    <row r="495" spans="1:9" x14ac:dyDescent="0.25">
      <c r="A495" s="13" t="s">
        <v>11</v>
      </c>
      <c r="B495" s="13" t="s">
        <v>255</v>
      </c>
      <c r="C495" s="4" t="s">
        <v>77</v>
      </c>
      <c r="D495" s="16" t="s">
        <v>972</v>
      </c>
      <c r="E495" s="16" t="s">
        <v>378</v>
      </c>
      <c r="F495" s="16" t="s">
        <v>92</v>
      </c>
      <c r="G495" s="8"/>
      <c r="H495" s="8"/>
      <c r="I495" s="8"/>
    </row>
    <row r="496" spans="1:9" x14ac:dyDescent="0.25">
      <c r="A496" s="13" t="s">
        <v>11</v>
      </c>
      <c r="B496" s="13" t="s">
        <v>255</v>
      </c>
      <c r="C496" s="4" t="s">
        <v>77</v>
      </c>
      <c r="D496" s="16" t="s">
        <v>377</v>
      </c>
      <c r="E496" s="16" t="s">
        <v>377</v>
      </c>
      <c r="F496" s="8"/>
      <c r="G496" s="8"/>
      <c r="H496" s="8"/>
      <c r="I496" s="8"/>
    </row>
    <row r="497" spans="1:9" x14ac:dyDescent="0.25">
      <c r="A497" s="13" t="s">
        <v>11</v>
      </c>
      <c r="B497" s="13" t="s">
        <v>255</v>
      </c>
      <c r="C497" s="4" t="s">
        <v>77</v>
      </c>
      <c r="D497" s="16" t="s">
        <v>94</v>
      </c>
      <c r="E497" s="16" t="s">
        <v>94</v>
      </c>
      <c r="F497" s="8"/>
      <c r="G497" s="8"/>
      <c r="H497" s="8"/>
      <c r="I497" s="8"/>
    </row>
    <row r="498" spans="1:9" ht="30" x14ac:dyDescent="0.25">
      <c r="A498" s="13" t="s">
        <v>11</v>
      </c>
      <c r="B498" s="13" t="s">
        <v>255</v>
      </c>
      <c r="C498" s="4" t="s">
        <v>95</v>
      </c>
      <c r="D498" s="16" t="str">
        <f>I498&amp;".txt"</f>
        <v>rvtm-des-export.txt</v>
      </c>
      <c r="E498" s="47"/>
      <c r="F498" s="47"/>
      <c r="G498" s="16" t="s">
        <v>7</v>
      </c>
      <c r="H498" s="16" t="s">
        <v>60</v>
      </c>
      <c r="I498" s="16" t="s">
        <v>189</v>
      </c>
    </row>
    <row r="499" spans="1:9" ht="30" x14ac:dyDescent="0.25">
      <c r="A499" s="13" t="s">
        <v>11</v>
      </c>
      <c r="B499" s="13" t="s">
        <v>255</v>
      </c>
      <c r="C499" s="4" t="s">
        <v>96</v>
      </c>
      <c r="D499" s="16" t="str">
        <f>I499&amp;".txt"</f>
        <v>ratm-export.txt</v>
      </c>
      <c r="E499" s="16" t="s">
        <v>81</v>
      </c>
      <c r="F499" s="16" t="s">
        <v>83</v>
      </c>
      <c r="G499" s="16" t="s">
        <v>2</v>
      </c>
      <c r="H499" s="16" t="s">
        <v>59</v>
      </c>
      <c r="I499" s="16" t="s">
        <v>188</v>
      </c>
    </row>
    <row r="500" spans="1:9" ht="30" x14ac:dyDescent="0.25">
      <c r="A500" s="13" t="s">
        <v>11</v>
      </c>
      <c r="B500" s="13" t="s">
        <v>255</v>
      </c>
      <c r="C500" s="4" t="s">
        <v>96</v>
      </c>
      <c r="D500" s="16" t="str">
        <f>I500&amp;".txt"</f>
        <v>rvtm-des-export.txt</v>
      </c>
      <c r="E500" s="16" t="s">
        <v>81</v>
      </c>
      <c r="F500" s="16" t="s">
        <v>104</v>
      </c>
      <c r="G500" s="16" t="s">
        <v>7</v>
      </c>
      <c r="H500" s="16" t="s">
        <v>60</v>
      </c>
      <c r="I500" s="16" t="s">
        <v>189</v>
      </c>
    </row>
    <row r="501" spans="1:9" ht="30" x14ac:dyDescent="0.25">
      <c r="A501" s="13" t="s">
        <v>11</v>
      </c>
      <c r="B501" s="13" t="s">
        <v>255</v>
      </c>
      <c r="C501" s="4" t="s">
        <v>96</v>
      </c>
      <c r="D501" s="16" t="str">
        <f>I501&amp;".txt"</f>
        <v>document-register-export.txt</v>
      </c>
      <c r="E501" s="16" t="s">
        <v>81</v>
      </c>
      <c r="F501" s="16" t="s">
        <v>92</v>
      </c>
      <c r="G501" s="16" t="s">
        <v>4</v>
      </c>
      <c r="H501" s="16" t="s">
        <v>4</v>
      </c>
      <c r="I501" s="16" t="s">
        <v>192</v>
      </c>
    </row>
    <row r="502" spans="1:9" x14ac:dyDescent="0.25">
      <c r="A502" s="13" t="s">
        <v>11</v>
      </c>
      <c r="B502" s="13" t="s">
        <v>255</v>
      </c>
      <c r="C502" s="4" t="s">
        <v>96</v>
      </c>
      <c r="D502" s="16" t="str">
        <f>I502&amp;".txt"</f>
        <v>All Modules.txt</v>
      </c>
      <c r="E502" s="16" t="s">
        <v>845</v>
      </c>
      <c r="F502" s="16" t="s">
        <v>879</v>
      </c>
      <c r="G502" s="16" t="s">
        <v>836</v>
      </c>
      <c r="H502" s="16" t="s">
        <v>839</v>
      </c>
      <c r="I502" s="16" t="s">
        <v>839</v>
      </c>
    </row>
    <row r="503" spans="1:9" x14ac:dyDescent="0.25">
      <c r="A503" s="13" t="s">
        <v>11</v>
      </c>
      <c r="B503" s="46" t="s">
        <v>981</v>
      </c>
      <c r="C503" s="4" t="s">
        <v>77</v>
      </c>
      <c r="D503" s="16" t="s">
        <v>7</v>
      </c>
      <c r="E503" s="16" t="s">
        <v>79</v>
      </c>
      <c r="F503" s="8"/>
      <c r="G503" s="8"/>
      <c r="H503" s="8"/>
      <c r="I503" s="8"/>
    </row>
    <row r="504" spans="1:9" x14ac:dyDescent="0.25">
      <c r="A504" s="13" t="s">
        <v>11</v>
      </c>
      <c r="B504" s="46" t="s">
        <v>981</v>
      </c>
      <c r="C504" s="4" t="s">
        <v>77</v>
      </c>
      <c r="D504" s="16" t="s">
        <v>872</v>
      </c>
      <c r="E504" s="16" t="s">
        <v>872</v>
      </c>
      <c r="F504" s="16" t="s">
        <v>879</v>
      </c>
      <c r="G504" s="8"/>
      <c r="H504" s="8"/>
      <c r="I504" s="8"/>
    </row>
    <row r="505" spans="1:9" x14ac:dyDescent="0.25">
      <c r="A505" s="13" t="s">
        <v>11</v>
      </c>
      <c r="B505" s="46" t="s">
        <v>981</v>
      </c>
      <c r="C505" s="4" t="s">
        <v>77</v>
      </c>
      <c r="D505" s="16" t="s">
        <v>873</v>
      </c>
      <c r="E505" s="16" t="s">
        <v>873</v>
      </c>
      <c r="F505" s="16" t="s">
        <v>879</v>
      </c>
      <c r="G505" s="8"/>
      <c r="H505" s="8"/>
      <c r="I505" s="8"/>
    </row>
    <row r="506" spans="1:9" x14ac:dyDescent="0.25">
      <c r="A506" s="13" t="s">
        <v>11</v>
      </c>
      <c r="B506" s="46" t="s">
        <v>981</v>
      </c>
      <c r="C506" s="4" t="s">
        <v>77</v>
      </c>
      <c r="D506" s="16" t="s">
        <v>856</v>
      </c>
      <c r="E506" s="16" t="s">
        <v>856</v>
      </c>
      <c r="F506" s="16" t="s">
        <v>879</v>
      </c>
      <c r="G506" s="8"/>
      <c r="H506" s="8"/>
      <c r="I506" s="8"/>
    </row>
    <row r="507" spans="1:9" x14ac:dyDescent="0.25">
      <c r="A507" s="13" t="s">
        <v>11</v>
      </c>
      <c r="B507" s="46" t="s">
        <v>981</v>
      </c>
      <c r="C507" s="4" t="s">
        <v>77</v>
      </c>
      <c r="D507" s="16" t="s">
        <v>874</v>
      </c>
      <c r="E507" s="16" t="s">
        <v>874</v>
      </c>
      <c r="F507" s="16" t="s">
        <v>879</v>
      </c>
      <c r="G507" s="8"/>
      <c r="H507" s="8"/>
      <c r="I507" s="8"/>
    </row>
    <row r="508" spans="1:9" x14ac:dyDescent="0.25">
      <c r="A508" s="13" t="s">
        <v>11</v>
      </c>
      <c r="B508" s="46" t="s">
        <v>981</v>
      </c>
      <c r="C508" s="4" t="s">
        <v>77</v>
      </c>
      <c r="D508" s="16" t="s">
        <v>80</v>
      </c>
      <c r="E508" s="16" t="s">
        <v>81</v>
      </c>
      <c r="F508" s="8"/>
      <c r="G508" s="8"/>
      <c r="H508" s="8"/>
      <c r="I508" s="8"/>
    </row>
    <row r="509" spans="1:9" x14ac:dyDescent="0.25">
      <c r="A509" s="13" t="s">
        <v>11</v>
      </c>
      <c r="B509" s="46" t="s">
        <v>981</v>
      </c>
      <c r="C509" s="4" t="s">
        <v>77</v>
      </c>
      <c r="D509" s="16" t="s">
        <v>82</v>
      </c>
      <c r="E509" s="16" t="s">
        <v>79</v>
      </c>
      <c r="F509" s="16" t="s">
        <v>83</v>
      </c>
      <c r="G509" s="8"/>
      <c r="H509" s="8"/>
      <c r="I509" s="8"/>
    </row>
    <row r="510" spans="1:9" x14ac:dyDescent="0.25">
      <c r="A510" s="13" t="s">
        <v>11</v>
      </c>
      <c r="B510" s="46" t="s">
        <v>981</v>
      </c>
      <c r="C510" s="4" t="s">
        <v>77</v>
      </c>
      <c r="D510" s="16" t="s">
        <v>84</v>
      </c>
      <c r="E510" s="16" t="s">
        <v>81</v>
      </c>
      <c r="F510" s="16" t="s">
        <v>83</v>
      </c>
      <c r="G510" s="8"/>
      <c r="H510" s="8"/>
      <c r="I510" s="8"/>
    </row>
    <row r="511" spans="1:9" x14ac:dyDescent="0.25">
      <c r="A511" s="13" t="s">
        <v>11</v>
      </c>
      <c r="B511" s="46" t="s">
        <v>981</v>
      </c>
      <c r="C511" s="4" t="s">
        <v>77</v>
      </c>
      <c r="D511" s="16" t="s">
        <v>99</v>
      </c>
      <c r="E511" s="16" t="s">
        <v>99</v>
      </c>
      <c r="F511" s="16" t="s">
        <v>83</v>
      </c>
      <c r="G511" s="8"/>
      <c r="H511" s="8"/>
      <c r="I511" s="8"/>
    </row>
    <row r="512" spans="1:9" x14ac:dyDescent="0.25">
      <c r="A512" s="13" t="s">
        <v>11</v>
      </c>
      <c r="B512" s="46" t="s">
        <v>981</v>
      </c>
      <c r="C512" s="4" t="s">
        <v>77</v>
      </c>
      <c r="D512" s="16" t="s">
        <v>85</v>
      </c>
      <c r="E512" s="16" t="s">
        <v>85</v>
      </c>
      <c r="F512" s="16" t="s">
        <v>83</v>
      </c>
      <c r="G512" s="8"/>
      <c r="H512" s="8"/>
      <c r="I512" s="8"/>
    </row>
    <row r="513" spans="1:9" x14ac:dyDescent="0.25">
      <c r="A513" s="13" t="s">
        <v>11</v>
      </c>
      <c r="B513" s="46" t="s">
        <v>981</v>
      </c>
      <c r="C513" s="4" t="s">
        <v>77</v>
      </c>
      <c r="D513" s="16" t="s">
        <v>86</v>
      </c>
      <c r="E513" s="16" t="s">
        <v>87</v>
      </c>
      <c r="F513" s="16" t="s">
        <v>83</v>
      </c>
      <c r="G513" s="8"/>
      <c r="H513" s="8"/>
      <c r="I513" s="8"/>
    </row>
    <row r="514" spans="1:9" x14ac:dyDescent="0.25">
      <c r="A514" s="13" t="s">
        <v>11</v>
      </c>
      <c r="B514" s="46" t="s">
        <v>981</v>
      </c>
      <c r="C514" s="4" t="s">
        <v>77</v>
      </c>
      <c r="D514" s="16" t="s">
        <v>88</v>
      </c>
      <c r="E514" s="16" t="s">
        <v>88</v>
      </c>
      <c r="F514" s="16" t="s">
        <v>83</v>
      </c>
      <c r="G514" s="8"/>
      <c r="H514" s="8"/>
      <c r="I514" s="8"/>
    </row>
    <row r="515" spans="1:9" x14ac:dyDescent="0.25">
      <c r="A515" s="13" t="s">
        <v>11</v>
      </c>
      <c r="B515" s="46" t="s">
        <v>981</v>
      </c>
      <c r="C515" s="4" t="s">
        <v>77</v>
      </c>
      <c r="D515" s="16" t="s">
        <v>25</v>
      </c>
      <c r="E515" s="16" t="s">
        <v>333</v>
      </c>
      <c r="F515" s="16" t="s">
        <v>83</v>
      </c>
      <c r="G515" s="8"/>
      <c r="H515" s="8"/>
      <c r="I515" s="8"/>
    </row>
    <row r="516" spans="1:9" x14ac:dyDescent="0.25">
      <c r="A516" s="13" t="s">
        <v>11</v>
      </c>
      <c r="B516" s="46" t="s">
        <v>981</v>
      </c>
      <c r="C516" s="4" t="s">
        <v>77</v>
      </c>
      <c r="D516" s="16" t="s">
        <v>487</v>
      </c>
      <c r="E516" s="16" t="s">
        <v>487</v>
      </c>
      <c r="F516" s="8"/>
      <c r="G516" s="8"/>
      <c r="H516" s="8"/>
      <c r="I516" s="8"/>
    </row>
    <row r="517" spans="1:9" x14ac:dyDescent="0.25">
      <c r="A517" s="13" t="s">
        <v>11</v>
      </c>
      <c r="B517" s="46" t="s">
        <v>981</v>
      </c>
      <c r="C517" s="4" t="s">
        <v>77</v>
      </c>
      <c r="D517" s="16" t="s">
        <v>1003</v>
      </c>
      <c r="E517" s="16" t="s">
        <v>1003</v>
      </c>
      <c r="F517" s="8"/>
      <c r="G517" s="8"/>
      <c r="H517" s="8"/>
      <c r="I517" s="8"/>
    </row>
    <row r="518" spans="1:9" x14ac:dyDescent="0.25">
      <c r="A518" s="13" t="s">
        <v>11</v>
      </c>
      <c r="B518" s="46" t="s">
        <v>981</v>
      </c>
      <c r="C518" s="4" t="s">
        <v>77</v>
      </c>
      <c r="D518" s="16" t="s">
        <v>272</v>
      </c>
      <c r="E518" s="16" t="s">
        <v>272</v>
      </c>
      <c r="F518" s="8"/>
      <c r="G518" s="8"/>
      <c r="H518" s="8"/>
      <c r="I518" s="8"/>
    </row>
    <row r="519" spans="1:9" x14ac:dyDescent="0.25">
      <c r="A519" s="13" t="s">
        <v>11</v>
      </c>
      <c r="B519" s="46" t="s">
        <v>981</v>
      </c>
      <c r="C519" s="4" t="s">
        <v>77</v>
      </c>
      <c r="D519" s="16" t="s">
        <v>1004</v>
      </c>
      <c r="E519" s="16" t="s">
        <v>1004</v>
      </c>
      <c r="F519" s="8"/>
      <c r="G519" s="8"/>
      <c r="H519" s="8"/>
      <c r="I519" s="8"/>
    </row>
    <row r="520" spans="1:9" x14ac:dyDescent="0.25">
      <c r="A520" s="13" t="s">
        <v>11</v>
      </c>
      <c r="B520" s="46" t="s">
        <v>981</v>
      </c>
      <c r="C520" s="4" t="s">
        <v>77</v>
      </c>
      <c r="D520" s="16" t="s">
        <v>320</v>
      </c>
      <c r="E520" s="16" t="s">
        <v>320</v>
      </c>
      <c r="F520" s="8"/>
      <c r="G520" s="8"/>
      <c r="H520" s="8"/>
      <c r="I520" s="8"/>
    </row>
    <row r="521" spans="1:9" x14ac:dyDescent="0.25">
      <c r="A521" s="13" t="s">
        <v>11</v>
      </c>
      <c r="B521" s="46" t="s">
        <v>981</v>
      </c>
      <c r="C521" s="4" t="s">
        <v>77</v>
      </c>
      <c r="D521" s="16" t="s">
        <v>488</v>
      </c>
      <c r="E521" s="16" t="s">
        <v>488</v>
      </c>
      <c r="F521" s="8"/>
      <c r="G521" s="8"/>
      <c r="H521" s="8"/>
      <c r="I521" s="8"/>
    </row>
    <row r="522" spans="1:9" x14ac:dyDescent="0.25">
      <c r="A522" s="13" t="s">
        <v>11</v>
      </c>
      <c r="B522" s="46" t="s">
        <v>981</v>
      </c>
      <c r="C522" s="4" t="s">
        <v>77</v>
      </c>
      <c r="D522" s="16" t="s">
        <v>863</v>
      </c>
      <c r="E522" s="16" t="s">
        <v>863</v>
      </c>
      <c r="F522" s="8"/>
      <c r="G522" s="8"/>
      <c r="H522" s="8"/>
      <c r="I522" s="8"/>
    </row>
    <row r="523" spans="1:9" x14ac:dyDescent="0.25">
      <c r="A523" s="13" t="s">
        <v>11</v>
      </c>
      <c r="B523" s="46" t="s">
        <v>981</v>
      </c>
      <c r="C523" s="4" t="s">
        <v>77</v>
      </c>
      <c r="D523" s="16" t="s">
        <v>1005</v>
      </c>
      <c r="E523" s="16" t="s">
        <v>1005</v>
      </c>
      <c r="F523" s="8"/>
      <c r="G523" s="8"/>
      <c r="H523" s="8"/>
      <c r="I523" s="8"/>
    </row>
    <row r="524" spans="1:9" x14ac:dyDescent="0.25">
      <c r="A524" s="13" t="s">
        <v>11</v>
      </c>
      <c r="B524" s="46" t="s">
        <v>981</v>
      </c>
      <c r="C524" s="4" t="s">
        <v>77</v>
      </c>
      <c r="D524" s="16" t="s">
        <v>864</v>
      </c>
      <c r="E524" s="16" t="s">
        <v>864</v>
      </c>
      <c r="F524" s="8"/>
      <c r="G524" s="8"/>
      <c r="H524" s="8"/>
      <c r="I524" s="8"/>
    </row>
    <row r="525" spans="1:9" x14ac:dyDescent="0.25">
      <c r="A525" s="13" t="s">
        <v>11</v>
      </c>
      <c r="B525" s="46" t="s">
        <v>981</v>
      </c>
      <c r="C525" s="4" t="s">
        <v>77</v>
      </c>
      <c r="D525" s="16" t="s">
        <v>1006</v>
      </c>
      <c r="E525" s="16" t="s">
        <v>1006</v>
      </c>
      <c r="F525" s="8"/>
      <c r="G525" s="8"/>
      <c r="H525" s="8"/>
      <c r="I525" s="8"/>
    </row>
    <row r="526" spans="1:9" x14ac:dyDescent="0.25">
      <c r="A526" s="13" t="s">
        <v>11</v>
      </c>
      <c r="B526" s="46" t="s">
        <v>981</v>
      </c>
      <c r="C526" s="4" t="s">
        <v>77</v>
      </c>
      <c r="D526" s="16" t="s">
        <v>902</v>
      </c>
      <c r="E526" s="16" t="s">
        <v>902</v>
      </c>
      <c r="F526" s="8"/>
      <c r="G526" s="8"/>
      <c r="H526" s="8"/>
      <c r="I526" s="8"/>
    </row>
    <row r="527" spans="1:9" x14ac:dyDescent="0.25">
      <c r="A527" s="13" t="s">
        <v>11</v>
      </c>
      <c r="B527" s="46" t="s">
        <v>981</v>
      </c>
      <c r="C527" s="4" t="s">
        <v>77</v>
      </c>
      <c r="D527" s="16" t="s">
        <v>903</v>
      </c>
      <c r="E527" s="16" t="s">
        <v>903</v>
      </c>
      <c r="F527" s="8"/>
      <c r="G527" s="8"/>
      <c r="H527" s="8"/>
      <c r="I527" s="8"/>
    </row>
    <row r="528" spans="1:9" ht="45" x14ac:dyDescent="0.25">
      <c r="A528" s="13" t="s">
        <v>11</v>
      </c>
      <c r="B528" s="46" t="s">
        <v>981</v>
      </c>
      <c r="C528" s="4" t="s">
        <v>95</v>
      </c>
      <c r="D528" s="16" t="str">
        <f>I528&amp;".txt"</f>
        <v>rvtm-prod-val-export.txt</v>
      </c>
      <c r="E528" s="47"/>
      <c r="F528" s="47"/>
      <c r="G528" s="16" t="s">
        <v>7</v>
      </c>
      <c r="H528" s="16" t="s">
        <v>983</v>
      </c>
      <c r="I528" s="16" t="s">
        <v>984</v>
      </c>
    </row>
    <row r="529" spans="1:10" ht="30" x14ac:dyDescent="0.25">
      <c r="A529" s="13" t="s">
        <v>11</v>
      </c>
      <c r="B529" s="46" t="s">
        <v>981</v>
      </c>
      <c r="C529" s="4" t="s">
        <v>96</v>
      </c>
      <c r="D529" s="16" t="str">
        <f>I529&amp;".txt"</f>
        <v>ratm-export.txt</v>
      </c>
      <c r="E529" s="16" t="s">
        <v>81</v>
      </c>
      <c r="F529" s="16" t="s">
        <v>83</v>
      </c>
      <c r="G529" s="16" t="s">
        <v>2</v>
      </c>
      <c r="H529" s="16" t="s">
        <v>59</v>
      </c>
      <c r="I529" s="16" t="s">
        <v>188</v>
      </c>
    </row>
    <row r="530" spans="1:10" ht="45" x14ac:dyDescent="0.25">
      <c r="A530" s="13" t="s">
        <v>11</v>
      </c>
      <c r="B530" s="46" t="s">
        <v>981</v>
      </c>
      <c r="C530" s="4" t="s">
        <v>96</v>
      </c>
      <c r="D530" s="16" t="str">
        <f>I530&amp;".txt"</f>
        <v>rvtm-prod-val-export.txt</v>
      </c>
      <c r="E530" s="16" t="s">
        <v>81</v>
      </c>
      <c r="F530" s="16" t="s">
        <v>104</v>
      </c>
      <c r="G530" s="16" t="s">
        <v>7</v>
      </c>
      <c r="H530" s="16" t="s">
        <v>983</v>
      </c>
      <c r="I530" s="16" t="s">
        <v>984</v>
      </c>
    </row>
    <row r="531" spans="1:10" x14ac:dyDescent="0.25">
      <c r="A531" s="13" t="s">
        <v>11</v>
      </c>
      <c r="B531" s="46" t="s">
        <v>981</v>
      </c>
      <c r="C531" s="4" t="s">
        <v>96</v>
      </c>
      <c r="D531" s="16" t="str">
        <f>I531&amp;".txt"</f>
        <v>All Modules.txt</v>
      </c>
      <c r="E531" s="16" t="s">
        <v>845</v>
      </c>
      <c r="F531" s="16" t="s">
        <v>879</v>
      </c>
      <c r="G531" s="16" t="s">
        <v>836</v>
      </c>
      <c r="H531" s="16" t="s">
        <v>839</v>
      </c>
      <c r="I531" s="16" t="s">
        <v>839</v>
      </c>
      <c r="J531" s="37"/>
    </row>
    <row r="532" spans="1:10" x14ac:dyDescent="0.25">
      <c r="A532" s="13" t="s">
        <v>11</v>
      </c>
      <c r="B532" s="42" t="s">
        <v>7</v>
      </c>
      <c r="C532" s="4" t="s">
        <v>77</v>
      </c>
      <c r="D532" s="16" t="s">
        <v>7</v>
      </c>
      <c r="E532" s="16" t="s">
        <v>79</v>
      </c>
      <c r="F532" s="8"/>
      <c r="G532" s="8"/>
      <c r="H532" s="8"/>
      <c r="I532" s="8"/>
    </row>
    <row r="533" spans="1:10" x14ac:dyDescent="0.25">
      <c r="A533" s="13" t="s">
        <v>11</v>
      </c>
      <c r="B533" s="42" t="s">
        <v>7</v>
      </c>
      <c r="C533" s="4" t="s">
        <v>77</v>
      </c>
      <c r="D533" s="16" t="s">
        <v>872</v>
      </c>
      <c r="E533" s="16" t="s">
        <v>872</v>
      </c>
      <c r="F533" s="16" t="s">
        <v>879</v>
      </c>
      <c r="G533" s="8"/>
      <c r="H533" s="8"/>
      <c r="I533" s="8"/>
    </row>
    <row r="534" spans="1:10" x14ac:dyDescent="0.25">
      <c r="A534" s="13" t="s">
        <v>11</v>
      </c>
      <c r="B534" s="42" t="s">
        <v>7</v>
      </c>
      <c r="C534" s="4" t="s">
        <v>77</v>
      </c>
      <c r="D534" s="16" t="s">
        <v>873</v>
      </c>
      <c r="E534" s="16" t="s">
        <v>873</v>
      </c>
      <c r="F534" s="16" t="s">
        <v>879</v>
      </c>
      <c r="G534" s="8"/>
      <c r="H534" s="8"/>
      <c r="I534" s="8"/>
    </row>
    <row r="535" spans="1:10" x14ac:dyDescent="0.25">
      <c r="A535" s="13" t="s">
        <v>11</v>
      </c>
      <c r="B535" s="42" t="s">
        <v>7</v>
      </c>
      <c r="C535" s="4" t="s">
        <v>77</v>
      </c>
      <c r="D535" s="16" t="s">
        <v>856</v>
      </c>
      <c r="E535" s="16" t="s">
        <v>856</v>
      </c>
      <c r="F535" s="16" t="s">
        <v>879</v>
      </c>
      <c r="G535" s="8"/>
      <c r="H535" s="8"/>
      <c r="I535" s="8"/>
    </row>
    <row r="536" spans="1:10" x14ac:dyDescent="0.25">
      <c r="A536" s="13" t="s">
        <v>11</v>
      </c>
      <c r="B536" s="42" t="s">
        <v>7</v>
      </c>
      <c r="C536" s="4" t="s">
        <v>77</v>
      </c>
      <c r="D536" s="16" t="s">
        <v>874</v>
      </c>
      <c r="E536" s="16" t="s">
        <v>874</v>
      </c>
      <c r="F536" s="16" t="s">
        <v>879</v>
      </c>
      <c r="G536" s="8"/>
      <c r="H536" s="8"/>
      <c r="I536" s="8"/>
    </row>
    <row r="537" spans="1:10" x14ac:dyDescent="0.25">
      <c r="A537" s="13" t="s">
        <v>11</v>
      </c>
      <c r="B537" s="42" t="s">
        <v>7</v>
      </c>
      <c r="C537" s="4" t="s">
        <v>77</v>
      </c>
      <c r="D537" s="16" t="s">
        <v>80</v>
      </c>
      <c r="E537" s="16" t="s">
        <v>81</v>
      </c>
      <c r="F537" s="8"/>
      <c r="G537" s="8"/>
      <c r="H537" s="8"/>
      <c r="I537" s="8"/>
    </row>
    <row r="538" spans="1:10" x14ac:dyDescent="0.25">
      <c r="A538" s="13" t="s">
        <v>11</v>
      </c>
      <c r="B538" s="42" t="s">
        <v>7</v>
      </c>
      <c r="C538" s="4" t="s">
        <v>77</v>
      </c>
      <c r="D538" s="16" t="s">
        <v>82</v>
      </c>
      <c r="E538" s="16" t="s">
        <v>79</v>
      </c>
      <c r="F538" s="16" t="s">
        <v>83</v>
      </c>
      <c r="G538" s="8"/>
      <c r="H538" s="8"/>
      <c r="I538" s="8"/>
    </row>
    <row r="539" spans="1:10" x14ac:dyDescent="0.25">
      <c r="A539" s="13" t="s">
        <v>11</v>
      </c>
      <c r="B539" s="42" t="s">
        <v>7</v>
      </c>
      <c r="C539" s="4" t="s">
        <v>77</v>
      </c>
      <c r="D539" s="16" t="s">
        <v>84</v>
      </c>
      <c r="E539" s="16" t="s">
        <v>81</v>
      </c>
      <c r="F539" s="16" t="s">
        <v>83</v>
      </c>
      <c r="G539" s="8"/>
      <c r="H539" s="8"/>
      <c r="I539" s="8"/>
    </row>
    <row r="540" spans="1:10" x14ac:dyDescent="0.25">
      <c r="A540" s="13" t="s">
        <v>11</v>
      </c>
      <c r="B540" s="42" t="s">
        <v>7</v>
      </c>
      <c r="C540" s="4" t="s">
        <v>77</v>
      </c>
      <c r="D540" s="16" t="s">
        <v>99</v>
      </c>
      <c r="E540" s="16" t="s">
        <v>99</v>
      </c>
      <c r="F540" s="16" t="s">
        <v>83</v>
      </c>
      <c r="G540" s="8"/>
      <c r="H540" s="8"/>
      <c r="I540" s="8"/>
    </row>
    <row r="541" spans="1:10" x14ac:dyDescent="0.25">
      <c r="A541" s="13" t="s">
        <v>11</v>
      </c>
      <c r="B541" s="42" t="s">
        <v>7</v>
      </c>
      <c r="C541" s="4" t="s">
        <v>77</v>
      </c>
      <c r="D541" s="16" t="s">
        <v>85</v>
      </c>
      <c r="E541" s="16" t="s">
        <v>85</v>
      </c>
      <c r="F541" s="16" t="s">
        <v>83</v>
      </c>
      <c r="G541" s="8"/>
      <c r="H541" s="8"/>
      <c r="I541" s="8"/>
    </row>
    <row r="542" spans="1:10" x14ac:dyDescent="0.25">
      <c r="A542" s="13" t="s">
        <v>11</v>
      </c>
      <c r="B542" s="42" t="s">
        <v>7</v>
      </c>
      <c r="C542" s="4" t="s">
        <v>77</v>
      </c>
      <c r="D542" s="16" t="s">
        <v>86</v>
      </c>
      <c r="E542" s="16" t="s">
        <v>87</v>
      </c>
      <c r="F542" s="16" t="s">
        <v>83</v>
      </c>
      <c r="G542" s="8"/>
      <c r="H542" s="8"/>
      <c r="I542" s="8"/>
    </row>
    <row r="543" spans="1:10" x14ac:dyDescent="0.25">
      <c r="A543" s="13" t="s">
        <v>11</v>
      </c>
      <c r="B543" s="42" t="s">
        <v>7</v>
      </c>
      <c r="C543" s="4" t="s">
        <v>77</v>
      </c>
      <c r="D543" s="16" t="s">
        <v>88</v>
      </c>
      <c r="E543" s="16" t="s">
        <v>88</v>
      </c>
      <c r="F543" s="16" t="s">
        <v>83</v>
      </c>
      <c r="G543" s="8"/>
      <c r="H543" s="8"/>
      <c r="I543" s="8"/>
    </row>
    <row r="544" spans="1:10" x14ac:dyDescent="0.25">
      <c r="A544" s="13" t="s">
        <v>11</v>
      </c>
      <c r="B544" s="42" t="s">
        <v>7</v>
      </c>
      <c r="C544" s="4" t="s">
        <v>77</v>
      </c>
      <c r="D544" s="16" t="s">
        <v>25</v>
      </c>
      <c r="E544" s="16" t="s">
        <v>333</v>
      </c>
      <c r="F544" s="16" t="s">
        <v>83</v>
      </c>
      <c r="G544" s="8"/>
      <c r="H544" s="8"/>
      <c r="I544" s="8"/>
    </row>
    <row r="545" spans="1:9" x14ac:dyDescent="0.25">
      <c r="A545" s="13" t="s">
        <v>11</v>
      </c>
      <c r="B545" s="42" t="s">
        <v>7</v>
      </c>
      <c r="C545" s="4" t="s">
        <v>77</v>
      </c>
      <c r="D545" s="16" t="s">
        <v>89</v>
      </c>
      <c r="E545" s="16" t="s">
        <v>89</v>
      </c>
      <c r="F545" s="8"/>
      <c r="G545" s="8"/>
      <c r="H545" s="8"/>
      <c r="I545" s="8"/>
    </row>
    <row r="546" spans="1:9" x14ac:dyDescent="0.25">
      <c r="A546" s="13" t="s">
        <v>11</v>
      </c>
      <c r="B546" s="42" t="s">
        <v>7</v>
      </c>
      <c r="C546" s="4" t="s">
        <v>77</v>
      </c>
      <c r="D546" s="16" t="s">
        <v>93</v>
      </c>
      <c r="E546" s="16" t="s">
        <v>93</v>
      </c>
      <c r="F546" s="8"/>
      <c r="G546" s="8"/>
      <c r="H546" s="8"/>
      <c r="I546" s="8"/>
    </row>
    <row r="547" spans="1:9" x14ac:dyDescent="0.25">
      <c r="A547" s="13" t="s">
        <v>11</v>
      </c>
      <c r="B547" s="42" t="s">
        <v>7</v>
      </c>
      <c r="C547" s="4" t="s">
        <v>77</v>
      </c>
      <c r="D547" s="16" t="s">
        <v>973</v>
      </c>
      <c r="E547" s="16" t="s">
        <v>379</v>
      </c>
      <c r="F547" s="16" t="s">
        <v>92</v>
      </c>
      <c r="G547" s="8"/>
      <c r="H547" s="8"/>
      <c r="I547" s="8"/>
    </row>
    <row r="548" spans="1:9" x14ac:dyDescent="0.25">
      <c r="A548" s="13" t="s">
        <v>11</v>
      </c>
      <c r="B548" s="42" t="s">
        <v>7</v>
      </c>
      <c r="C548" s="4" t="s">
        <v>77</v>
      </c>
      <c r="D548" s="16" t="s">
        <v>972</v>
      </c>
      <c r="E548" s="16" t="s">
        <v>378</v>
      </c>
      <c r="F548" s="16" t="s">
        <v>92</v>
      </c>
      <c r="G548" s="8"/>
      <c r="H548" s="8"/>
      <c r="I548" s="8"/>
    </row>
    <row r="549" spans="1:9" x14ac:dyDescent="0.25">
      <c r="A549" s="13" t="s">
        <v>11</v>
      </c>
      <c r="B549" s="42" t="s">
        <v>7</v>
      </c>
      <c r="C549" s="4" t="s">
        <v>77</v>
      </c>
      <c r="D549" s="16" t="s">
        <v>377</v>
      </c>
      <c r="E549" s="16" t="s">
        <v>377</v>
      </c>
      <c r="F549" s="8"/>
      <c r="G549" s="8"/>
      <c r="H549" s="8"/>
      <c r="I549" s="8"/>
    </row>
    <row r="550" spans="1:9" x14ac:dyDescent="0.25">
      <c r="A550" s="13" t="s">
        <v>11</v>
      </c>
      <c r="B550" s="42" t="s">
        <v>7</v>
      </c>
      <c r="C550" s="4" t="s">
        <v>77</v>
      </c>
      <c r="D550" s="16" t="s">
        <v>94</v>
      </c>
      <c r="E550" s="16" t="s">
        <v>94</v>
      </c>
      <c r="F550" s="8"/>
      <c r="G550" s="8"/>
      <c r="H550" s="8"/>
      <c r="I550" s="8"/>
    </row>
    <row r="551" spans="1:9" x14ac:dyDescent="0.25">
      <c r="A551" s="13" t="s">
        <v>11</v>
      </c>
      <c r="B551" s="42" t="s">
        <v>7</v>
      </c>
      <c r="C551" s="4" t="s">
        <v>77</v>
      </c>
      <c r="D551" s="16" t="s">
        <v>487</v>
      </c>
      <c r="E551" s="16" t="s">
        <v>487</v>
      </c>
      <c r="F551" s="8"/>
      <c r="G551" s="8"/>
      <c r="H551" s="8"/>
      <c r="I551" s="8"/>
    </row>
    <row r="552" spans="1:9" x14ac:dyDescent="0.25">
      <c r="A552" s="13" t="s">
        <v>11</v>
      </c>
      <c r="B552" s="42" t="s">
        <v>7</v>
      </c>
      <c r="C552" s="4" t="s">
        <v>77</v>
      </c>
      <c r="D552" s="16" t="s">
        <v>1003</v>
      </c>
      <c r="E552" s="16" t="s">
        <v>1003</v>
      </c>
      <c r="F552" s="8"/>
      <c r="G552" s="8"/>
      <c r="H552" s="8"/>
      <c r="I552" s="8"/>
    </row>
    <row r="553" spans="1:9" x14ac:dyDescent="0.25">
      <c r="A553" s="13" t="s">
        <v>11</v>
      </c>
      <c r="B553" s="42" t="s">
        <v>7</v>
      </c>
      <c r="C553" s="4" t="s">
        <v>77</v>
      </c>
      <c r="D553" s="16" t="s">
        <v>272</v>
      </c>
      <c r="E553" s="16" t="s">
        <v>272</v>
      </c>
      <c r="F553" s="8"/>
      <c r="G553" s="8"/>
      <c r="H553" s="8"/>
      <c r="I553" s="8"/>
    </row>
    <row r="554" spans="1:9" x14ac:dyDescent="0.25">
      <c r="A554" s="13" t="s">
        <v>11</v>
      </c>
      <c r="B554" s="42" t="s">
        <v>7</v>
      </c>
      <c r="C554" s="4" t="s">
        <v>77</v>
      </c>
      <c r="D554" s="16" t="s">
        <v>1004</v>
      </c>
      <c r="E554" s="16" t="s">
        <v>1004</v>
      </c>
      <c r="F554" s="8"/>
      <c r="G554" s="8"/>
      <c r="H554" s="8"/>
      <c r="I554" s="8"/>
    </row>
    <row r="555" spans="1:9" x14ac:dyDescent="0.25">
      <c r="A555" s="13" t="s">
        <v>11</v>
      </c>
      <c r="B555" s="42" t="s">
        <v>7</v>
      </c>
      <c r="C555" s="4" t="s">
        <v>77</v>
      </c>
      <c r="D555" s="16" t="s">
        <v>320</v>
      </c>
      <c r="E555" s="16" t="s">
        <v>320</v>
      </c>
      <c r="F555" s="8"/>
      <c r="G555" s="8"/>
      <c r="H555" s="8"/>
      <c r="I555" s="8"/>
    </row>
    <row r="556" spans="1:9" x14ac:dyDescent="0.25">
      <c r="A556" s="13" t="s">
        <v>11</v>
      </c>
      <c r="B556" s="42" t="s">
        <v>7</v>
      </c>
      <c r="C556" s="4" t="s">
        <v>77</v>
      </c>
      <c r="D556" s="16" t="s">
        <v>488</v>
      </c>
      <c r="E556" s="16" t="s">
        <v>488</v>
      </c>
      <c r="F556" s="8"/>
      <c r="G556" s="8"/>
      <c r="H556" s="8"/>
      <c r="I556" s="8"/>
    </row>
    <row r="557" spans="1:9" x14ac:dyDescent="0.25">
      <c r="A557" s="13" t="s">
        <v>11</v>
      </c>
      <c r="B557" s="42" t="s">
        <v>7</v>
      </c>
      <c r="C557" s="4" t="s">
        <v>77</v>
      </c>
      <c r="D557" s="16" t="s">
        <v>863</v>
      </c>
      <c r="E557" s="16" t="s">
        <v>863</v>
      </c>
      <c r="F557" s="8"/>
      <c r="G557" s="8"/>
      <c r="H557" s="8"/>
      <c r="I557" s="8"/>
    </row>
    <row r="558" spans="1:9" x14ac:dyDescent="0.25">
      <c r="A558" s="13" t="s">
        <v>11</v>
      </c>
      <c r="B558" s="42" t="s">
        <v>7</v>
      </c>
      <c r="C558" s="4" t="s">
        <v>77</v>
      </c>
      <c r="D558" s="16" t="s">
        <v>1005</v>
      </c>
      <c r="E558" s="16" t="s">
        <v>1005</v>
      </c>
      <c r="F558" s="8"/>
      <c r="G558" s="8"/>
      <c r="H558" s="8"/>
      <c r="I558" s="8"/>
    </row>
    <row r="559" spans="1:9" x14ac:dyDescent="0.25">
      <c r="A559" s="13" t="s">
        <v>11</v>
      </c>
      <c r="B559" s="42" t="s">
        <v>7</v>
      </c>
      <c r="C559" s="4" t="s">
        <v>77</v>
      </c>
      <c r="D559" s="16" t="s">
        <v>864</v>
      </c>
      <c r="E559" s="16" t="s">
        <v>864</v>
      </c>
      <c r="F559" s="8"/>
      <c r="G559" s="8"/>
      <c r="H559" s="8"/>
      <c r="I559" s="8"/>
    </row>
    <row r="560" spans="1:9" x14ac:dyDescent="0.25">
      <c r="A560" s="13" t="s">
        <v>11</v>
      </c>
      <c r="B560" s="42" t="s">
        <v>7</v>
      </c>
      <c r="C560" s="4" t="s">
        <v>77</v>
      </c>
      <c r="D560" s="16" t="s">
        <v>1006</v>
      </c>
      <c r="E560" s="16" t="s">
        <v>1006</v>
      </c>
      <c r="F560" s="8"/>
      <c r="G560" s="8"/>
      <c r="H560" s="8"/>
      <c r="I560" s="8"/>
    </row>
    <row r="561" spans="1:9" x14ac:dyDescent="0.25">
      <c r="A561" s="13" t="s">
        <v>11</v>
      </c>
      <c r="B561" s="42" t="s">
        <v>7</v>
      </c>
      <c r="C561" s="4" t="s">
        <v>77</v>
      </c>
      <c r="D561" s="16" t="s">
        <v>902</v>
      </c>
      <c r="E561" s="16" t="s">
        <v>902</v>
      </c>
      <c r="F561" s="8"/>
      <c r="G561" s="8"/>
      <c r="H561" s="8"/>
      <c r="I561" s="8"/>
    </row>
    <row r="562" spans="1:9" x14ac:dyDescent="0.25">
      <c r="A562" s="13" t="s">
        <v>11</v>
      </c>
      <c r="B562" s="42" t="s">
        <v>7</v>
      </c>
      <c r="C562" s="4" t="s">
        <v>77</v>
      </c>
      <c r="D562" s="16" t="s">
        <v>903</v>
      </c>
      <c r="E562" s="16" t="s">
        <v>903</v>
      </c>
      <c r="F562" s="8"/>
      <c r="G562" s="8"/>
      <c r="H562" s="8"/>
      <c r="I562" s="8"/>
    </row>
    <row r="563" spans="1:9" ht="30" x14ac:dyDescent="0.25">
      <c r="A563" s="13" t="s">
        <v>11</v>
      </c>
      <c r="B563" s="42" t="s">
        <v>7</v>
      </c>
      <c r="C563" s="4" t="s">
        <v>95</v>
      </c>
      <c r="D563" s="16" t="str">
        <f>I563&amp;".txt"</f>
        <v>rvtm-all-export.txt</v>
      </c>
      <c r="E563" s="47"/>
      <c r="F563" s="47"/>
      <c r="G563" s="16" t="s">
        <v>7</v>
      </c>
      <c r="H563" s="16" t="s">
        <v>976</v>
      </c>
      <c r="I563" s="16" t="s">
        <v>492</v>
      </c>
    </row>
    <row r="564" spans="1:9" ht="30" x14ac:dyDescent="0.25">
      <c r="A564" s="13" t="s">
        <v>11</v>
      </c>
      <c r="B564" s="42" t="s">
        <v>7</v>
      </c>
      <c r="C564" s="4" t="s">
        <v>96</v>
      </c>
      <c r="D564" s="16" t="str">
        <f>I564&amp;".txt"</f>
        <v>ratm-export.txt</v>
      </c>
      <c r="E564" s="16" t="s">
        <v>81</v>
      </c>
      <c r="F564" s="16" t="s">
        <v>83</v>
      </c>
      <c r="G564" s="16" t="s">
        <v>2</v>
      </c>
      <c r="H564" s="16" t="s">
        <v>59</v>
      </c>
      <c r="I564" s="16" t="s">
        <v>188</v>
      </c>
    </row>
    <row r="565" spans="1:9" ht="30" x14ac:dyDescent="0.25">
      <c r="A565" s="13" t="s">
        <v>11</v>
      </c>
      <c r="B565" s="42" t="s">
        <v>7</v>
      </c>
      <c r="C565" s="4" t="s">
        <v>96</v>
      </c>
      <c r="D565" s="16" t="str">
        <f>I565&amp;".txt"</f>
        <v>document-register-export.txt</v>
      </c>
      <c r="E565" s="16" t="s">
        <v>81</v>
      </c>
      <c r="F565" s="16" t="s">
        <v>92</v>
      </c>
      <c r="G565" s="16" t="s">
        <v>4</v>
      </c>
      <c r="H565" s="16" t="s">
        <v>4</v>
      </c>
      <c r="I565" s="16" t="s">
        <v>192</v>
      </c>
    </row>
    <row r="566" spans="1:9" ht="30" x14ac:dyDescent="0.25">
      <c r="A566" s="13" t="s">
        <v>11</v>
      </c>
      <c r="B566" s="42" t="s">
        <v>7</v>
      </c>
      <c r="C566" s="4" t="s">
        <v>96</v>
      </c>
      <c r="D566" s="16" t="str">
        <f>I566&amp;".txt"</f>
        <v>rvtm-all-export.txt</v>
      </c>
      <c r="E566" s="16" t="s">
        <v>81</v>
      </c>
      <c r="F566" s="16" t="s">
        <v>104</v>
      </c>
      <c r="G566" s="16" t="s">
        <v>7</v>
      </c>
      <c r="H566" s="16" t="s">
        <v>976</v>
      </c>
      <c r="I566" s="16" t="s">
        <v>492</v>
      </c>
    </row>
    <row r="567" spans="1:9" x14ac:dyDescent="0.25">
      <c r="A567" s="13" t="s">
        <v>11</v>
      </c>
      <c r="B567" s="42" t="s">
        <v>7</v>
      </c>
      <c r="C567" s="4" t="s">
        <v>96</v>
      </c>
      <c r="D567" s="16" t="str">
        <f>I567&amp;".txt"</f>
        <v>All Modules.txt</v>
      </c>
      <c r="E567" s="16" t="s">
        <v>845</v>
      </c>
      <c r="F567" s="16" t="s">
        <v>879</v>
      </c>
      <c r="G567" s="16" t="s">
        <v>836</v>
      </c>
      <c r="H567" s="16" t="s">
        <v>839</v>
      </c>
      <c r="I567" s="16" t="s">
        <v>839</v>
      </c>
    </row>
    <row r="568" spans="1:9" x14ac:dyDescent="0.25">
      <c r="A568" s="13" t="s">
        <v>11</v>
      </c>
      <c r="B568" s="4" t="s">
        <v>4</v>
      </c>
      <c r="C568" s="4" t="s">
        <v>77</v>
      </c>
      <c r="D568" s="16" t="s">
        <v>81</v>
      </c>
      <c r="E568" s="16" t="s">
        <v>81</v>
      </c>
      <c r="F568" s="8"/>
      <c r="G568" s="8"/>
      <c r="H568" s="8"/>
      <c r="I568" s="8"/>
    </row>
    <row r="569" spans="1:9" x14ac:dyDescent="0.25">
      <c r="A569" s="13" t="s">
        <v>11</v>
      </c>
      <c r="B569" s="4" t="s">
        <v>4</v>
      </c>
      <c r="C569" s="4" t="s">
        <v>77</v>
      </c>
      <c r="D569" s="22" t="s">
        <v>496</v>
      </c>
      <c r="E569" s="22" t="s">
        <v>203</v>
      </c>
      <c r="F569" s="8"/>
      <c r="G569" s="8"/>
      <c r="H569" s="8"/>
      <c r="I569" s="8"/>
    </row>
    <row r="570" spans="1:9" x14ac:dyDescent="0.25">
      <c r="A570" s="13" t="s">
        <v>11</v>
      </c>
      <c r="B570" s="4" t="s">
        <v>4</v>
      </c>
      <c r="C570" s="4" t="s">
        <v>77</v>
      </c>
      <c r="D570" s="16" t="s">
        <v>379</v>
      </c>
      <c r="E570" s="16" t="s">
        <v>379</v>
      </c>
      <c r="F570" s="8"/>
      <c r="G570" s="8"/>
      <c r="H570" s="8"/>
      <c r="I570" s="8"/>
    </row>
    <row r="571" spans="1:9" x14ac:dyDescent="0.25">
      <c r="A571" s="13" t="s">
        <v>11</v>
      </c>
      <c r="B571" s="4" t="s">
        <v>4</v>
      </c>
      <c r="C571" s="4" t="s">
        <v>77</v>
      </c>
      <c r="D571" s="16" t="s">
        <v>378</v>
      </c>
      <c r="E571" s="16" t="s">
        <v>378</v>
      </c>
      <c r="F571" s="8"/>
      <c r="G571" s="8"/>
      <c r="H571" s="8"/>
      <c r="I571" s="8"/>
    </row>
    <row r="572" spans="1:9" x14ac:dyDescent="0.25">
      <c r="A572" s="13" t="s">
        <v>11</v>
      </c>
      <c r="B572" s="4" t="s">
        <v>4</v>
      </c>
      <c r="C572" s="4" t="s">
        <v>77</v>
      </c>
      <c r="D572" s="16" t="s">
        <v>498</v>
      </c>
      <c r="E572" s="16" t="s">
        <v>498</v>
      </c>
      <c r="F572" s="8"/>
      <c r="G572" s="8"/>
      <c r="H572" s="8"/>
      <c r="I572" s="8"/>
    </row>
    <row r="573" spans="1:9" x14ac:dyDescent="0.25">
      <c r="A573" s="13" t="s">
        <v>11</v>
      </c>
      <c r="B573" s="4" t="s">
        <v>4</v>
      </c>
      <c r="C573" s="4" t="s">
        <v>77</v>
      </c>
      <c r="D573" s="16" t="s">
        <v>499</v>
      </c>
      <c r="E573" s="16" t="s">
        <v>499</v>
      </c>
      <c r="F573" s="8"/>
      <c r="G573" s="8"/>
      <c r="H573" s="8"/>
      <c r="I573" s="8"/>
    </row>
    <row r="574" spans="1:9" x14ac:dyDescent="0.25">
      <c r="A574" s="13" t="s">
        <v>11</v>
      </c>
      <c r="B574" s="4" t="s">
        <v>4</v>
      </c>
      <c r="C574" s="4" t="s">
        <v>77</v>
      </c>
      <c r="D574" s="16" t="s">
        <v>500</v>
      </c>
      <c r="E574" s="16" t="s">
        <v>500</v>
      </c>
      <c r="F574" s="8"/>
      <c r="G574" s="8"/>
      <c r="H574" s="8"/>
      <c r="I574" s="8"/>
    </row>
    <row r="575" spans="1:9" x14ac:dyDescent="0.25">
      <c r="A575" s="13" t="s">
        <v>11</v>
      </c>
      <c r="B575" s="4" t="s">
        <v>4</v>
      </c>
      <c r="C575" s="4" t="s">
        <v>77</v>
      </c>
      <c r="D575" s="16" t="s">
        <v>501</v>
      </c>
      <c r="E575" s="16" t="s">
        <v>501</v>
      </c>
      <c r="F575" s="8"/>
      <c r="G575" s="8"/>
      <c r="H575" s="8"/>
      <c r="I575" s="8"/>
    </row>
    <row r="576" spans="1:9" x14ac:dyDescent="0.25">
      <c r="A576" s="13" t="s">
        <v>11</v>
      </c>
      <c r="B576" s="4" t="s">
        <v>4</v>
      </c>
      <c r="C576" s="4" t="s">
        <v>77</v>
      </c>
      <c r="D576" s="16" t="s">
        <v>502</v>
      </c>
      <c r="E576" s="16" t="s">
        <v>502</v>
      </c>
      <c r="F576" s="8"/>
      <c r="G576" s="8"/>
      <c r="H576" s="8"/>
      <c r="I576" s="8"/>
    </row>
    <row r="577" spans="1:9" ht="30" x14ac:dyDescent="0.25">
      <c r="A577" s="13" t="s">
        <v>11</v>
      </c>
      <c r="B577" s="4" t="s">
        <v>4</v>
      </c>
      <c r="C577" s="4" t="s">
        <v>77</v>
      </c>
      <c r="D577" s="16" t="s">
        <v>503</v>
      </c>
      <c r="E577" s="16" t="s">
        <v>503</v>
      </c>
      <c r="F577" s="8"/>
      <c r="G577" s="8"/>
      <c r="H577" s="8"/>
      <c r="I577" s="8"/>
    </row>
    <row r="578" spans="1:9" x14ac:dyDescent="0.25">
      <c r="A578" s="13" t="s">
        <v>11</v>
      </c>
      <c r="B578" s="4" t="s">
        <v>4</v>
      </c>
      <c r="C578" s="4" t="s">
        <v>77</v>
      </c>
      <c r="D578" s="16" t="s">
        <v>497</v>
      </c>
      <c r="E578" s="16" t="s">
        <v>87</v>
      </c>
      <c r="F578" s="8"/>
      <c r="G578" s="8"/>
      <c r="H578" s="8"/>
      <c r="I578" s="8"/>
    </row>
    <row r="579" spans="1:9" ht="30" x14ac:dyDescent="0.25">
      <c r="A579" s="13" t="s">
        <v>11</v>
      </c>
      <c r="B579" s="4" t="s">
        <v>4</v>
      </c>
      <c r="C579" s="4" t="s">
        <v>95</v>
      </c>
      <c r="D579" s="16" t="str">
        <f>I579&amp;".txt"</f>
        <v>document-register-export.txt</v>
      </c>
      <c r="E579" s="16" t="s">
        <v>81</v>
      </c>
      <c r="F579" s="47"/>
      <c r="G579" s="16" t="s">
        <v>4</v>
      </c>
      <c r="H579" s="16" t="s">
        <v>4</v>
      </c>
      <c r="I579" s="16" t="s">
        <v>192</v>
      </c>
    </row>
    <row r="580" spans="1:9" x14ac:dyDescent="0.25">
      <c r="A580" s="13" t="s">
        <v>11</v>
      </c>
      <c r="B580" s="4" t="s">
        <v>109</v>
      </c>
      <c r="C580" s="4" t="s">
        <v>77</v>
      </c>
      <c r="D580" s="16" t="s">
        <v>81</v>
      </c>
      <c r="E580" s="16" t="s">
        <v>81</v>
      </c>
      <c r="F580" s="8"/>
      <c r="G580" s="8"/>
      <c r="H580" s="8"/>
      <c r="I580" s="8"/>
    </row>
    <row r="581" spans="1:9" x14ac:dyDescent="0.25">
      <c r="A581" s="13" t="s">
        <v>11</v>
      </c>
      <c r="B581" s="4" t="s">
        <v>109</v>
      </c>
      <c r="C581" s="4" t="s">
        <v>77</v>
      </c>
      <c r="D581" s="16" t="s">
        <v>282</v>
      </c>
      <c r="E581" s="16" t="s">
        <v>282</v>
      </c>
      <c r="F581" s="8"/>
      <c r="G581" s="8"/>
      <c r="H581" s="8"/>
      <c r="I581" s="8"/>
    </row>
    <row r="582" spans="1:9" x14ac:dyDescent="0.25">
      <c r="A582" s="13" t="s">
        <v>11</v>
      </c>
      <c r="B582" s="4" t="s">
        <v>109</v>
      </c>
      <c r="C582" s="4" t="s">
        <v>77</v>
      </c>
      <c r="D582" s="16" t="s">
        <v>283</v>
      </c>
      <c r="E582" s="16" t="s">
        <v>283</v>
      </c>
      <c r="F582" s="8"/>
      <c r="G582" s="8"/>
      <c r="H582" s="8"/>
      <c r="I582" s="8"/>
    </row>
    <row r="583" spans="1:9" x14ac:dyDescent="0.25">
      <c r="A583" s="13" t="s">
        <v>11</v>
      </c>
      <c r="B583" s="4" t="s">
        <v>109</v>
      </c>
      <c r="C583" s="4" t="s">
        <v>77</v>
      </c>
      <c r="D583" s="16" t="s">
        <v>312</v>
      </c>
      <c r="E583" s="16" t="s">
        <v>425</v>
      </c>
      <c r="F583" s="16" t="s">
        <v>424</v>
      </c>
      <c r="G583" s="8"/>
      <c r="H583" s="8"/>
      <c r="I583" s="8"/>
    </row>
    <row r="584" spans="1:9" x14ac:dyDescent="0.25">
      <c r="A584" s="13" t="s">
        <v>11</v>
      </c>
      <c r="B584" s="4" t="s">
        <v>109</v>
      </c>
      <c r="C584" s="4" t="s">
        <v>77</v>
      </c>
      <c r="D584" s="16" t="s">
        <v>285</v>
      </c>
      <c r="E584" s="16" t="s">
        <v>352</v>
      </c>
      <c r="F584" s="8"/>
      <c r="G584" s="8"/>
      <c r="H584" s="8"/>
      <c r="I584" s="8"/>
    </row>
    <row r="585" spans="1:9" x14ac:dyDescent="0.25">
      <c r="A585" s="13" t="s">
        <v>11</v>
      </c>
      <c r="B585" s="4" t="s">
        <v>109</v>
      </c>
      <c r="C585" s="4" t="s">
        <v>77</v>
      </c>
      <c r="D585" s="16" t="s">
        <v>286</v>
      </c>
      <c r="E585" s="16" t="s">
        <v>286</v>
      </c>
      <c r="F585" s="8"/>
      <c r="G585" s="8"/>
      <c r="H585" s="8"/>
      <c r="I585" s="8"/>
    </row>
    <row r="586" spans="1:9" x14ac:dyDescent="0.25">
      <c r="A586" s="13" t="s">
        <v>11</v>
      </c>
      <c r="B586" s="4" t="s">
        <v>109</v>
      </c>
      <c r="C586" s="4" t="s">
        <v>77</v>
      </c>
      <c r="D586" s="16" t="s">
        <v>287</v>
      </c>
      <c r="E586" s="16" t="s">
        <v>287</v>
      </c>
      <c r="F586" s="8"/>
      <c r="G586" s="8"/>
      <c r="H586" s="8"/>
      <c r="I586" s="8"/>
    </row>
    <row r="587" spans="1:9" x14ac:dyDescent="0.25">
      <c r="A587" s="13" t="s">
        <v>11</v>
      </c>
      <c r="B587" s="4" t="s">
        <v>109</v>
      </c>
      <c r="C587" s="4" t="s">
        <v>77</v>
      </c>
      <c r="D587" s="16" t="s">
        <v>485</v>
      </c>
      <c r="E587" s="16" t="s">
        <v>485</v>
      </c>
      <c r="F587" s="8"/>
      <c r="G587" s="8"/>
      <c r="H587" s="8"/>
      <c r="I587" s="8"/>
    </row>
    <row r="588" spans="1:9" x14ac:dyDescent="0.25">
      <c r="A588" s="13" t="s">
        <v>11</v>
      </c>
      <c r="B588" s="4" t="s">
        <v>109</v>
      </c>
      <c r="C588" s="4" t="s">
        <v>77</v>
      </c>
      <c r="D588" s="16" t="s">
        <v>486</v>
      </c>
      <c r="E588" s="16" t="s">
        <v>486</v>
      </c>
      <c r="F588" s="8"/>
      <c r="G588" s="8"/>
      <c r="H588" s="8"/>
      <c r="I588" s="8"/>
    </row>
    <row r="589" spans="1:9" x14ac:dyDescent="0.25">
      <c r="A589" s="13" t="s">
        <v>11</v>
      </c>
      <c r="B589" s="4" t="s">
        <v>109</v>
      </c>
      <c r="C589" s="4" t="s">
        <v>77</v>
      </c>
      <c r="D589" s="16" t="s">
        <v>304</v>
      </c>
      <c r="E589" s="16" t="s">
        <v>511</v>
      </c>
      <c r="F589" s="16" t="s">
        <v>288</v>
      </c>
      <c r="G589" s="8"/>
      <c r="H589" s="8"/>
      <c r="I589" s="8"/>
    </row>
    <row r="590" spans="1:9" x14ac:dyDescent="0.25">
      <c r="A590" s="13" t="s">
        <v>11</v>
      </c>
      <c r="B590" s="4" t="s">
        <v>109</v>
      </c>
      <c r="C590" s="4" t="s">
        <v>77</v>
      </c>
      <c r="D590" s="16" t="s">
        <v>305</v>
      </c>
      <c r="E590" s="16" t="s">
        <v>512</v>
      </c>
      <c r="F590" s="16" t="s">
        <v>288</v>
      </c>
      <c r="G590" s="8"/>
      <c r="H590" s="8"/>
      <c r="I590" s="8"/>
    </row>
    <row r="591" spans="1:9" x14ac:dyDescent="0.25">
      <c r="A591" s="13" t="s">
        <v>11</v>
      </c>
      <c r="B591" s="4" t="s">
        <v>109</v>
      </c>
      <c r="C591" s="4" t="s">
        <v>77</v>
      </c>
      <c r="D591" s="16" t="s">
        <v>306</v>
      </c>
      <c r="E591" s="16" t="s">
        <v>87</v>
      </c>
      <c r="F591" s="8"/>
      <c r="G591" s="8"/>
      <c r="H591" s="8"/>
      <c r="I591" s="8"/>
    </row>
    <row r="592" spans="1:9" x14ac:dyDescent="0.25">
      <c r="A592" s="13" t="s">
        <v>11</v>
      </c>
      <c r="B592" s="4" t="s">
        <v>109</v>
      </c>
      <c r="C592" s="4" t="s">
        <v>77</v>
      </c>
      <c r="D592" s="16" t="s">
        <v>289</v>
      </c>
      <c r="E592" s="16" t="s">
        <v>289</v>
      </c>
      <c r="F592" s="8"/>
      <c r="G592" s="8"/>
      <c r="H592" s="8"/>
      <c r="I592" s="8"/>
    </row>
    <row r="593" spans="1:9" x14ac:dyDescent="0.25">
      <c r="A593" s="13" t="s">
        <v>11</v>
      </c>
      <c r="B593" s="4" t="s">
        <v>109</v>
      </c>
      <c r="C593" s="4" t="s">
        <v>77</v>
      </c>
      <c r="D593" s="16" t="s">
        <v>307</v>
      </c>
      <c r="E593" s="16" t="s">
        <v>125</v>
      </c>
      <c r="F593" s="16" t="s">
        <v>126</v>
      </c>
      <c r="G593" s="8"/>
      <c r="H593" s="8"/>
      <c r="I593" s="8"/>
    </row>
    <row r="594" spans="1:9" x14ac:dyDescent="0.25">
      <c r="A594" s="13" t="s">
        <v>11</v>
      </c>
      <c r="B594" s="4" t="s">
        <v>109</v>
      </c>
      <c r="C594" s="4" t="s">
        <v>77</v>
      </c>
      <c r="D594" s="16" t="s">
        <v>290</v>
      </c>
      <c r="E594" s="16" t="s">
        <v>290</v>
      </c>
      <c r="F594" s="8"/>
      <c r="G594" s="8"/>
      <c r="H594" s="8"/>
      <c r="I594" s="8"/>
    </row>
    <row r="595" spans="1:9" x14ac:dyDescent="0.25">
      <c r="A595" s="13" t="s">
        <v>11</v>
      </c>
      <c r="B595" s="4" t="s">
        <v>109</v>
      </c>
      <c r="C595" s="4" t="s">
        <v>77</v>
      </c>
      <c r="D595" s="16" t="s">
        <v>291</v>
      </c>
      <c r="E595" s="16" t="s">
        <v>291</v>
      </c>
      <c r="F595" s="8"/>
      <c r="G595" s="8"/>
      <c r="H595" s="8"/>
      <c r="I595" s="8"/>
    </row>
    <row r="596" spans="1:9" x14ac:dyDescent="0.25">
      <c r="A596" s="13" t="s">
        <v>11</v>
      </c>
      <c r="B596" s="4" t="s">
        <v>109</v>
      </c>
      <c r="C596" s="4" t="s">
        <v>77</v>
      </c>
      <c r="D596" s="22" t="s">
        <v>308</v>
      </c>
      <c r="E596" s="22" t="s">
        <v>203</v>
      </c>
      <c r="F596" s="8"/>
      <c r="G596" s="8"/>
      <c r="H596" s="8"/>
      <c r="I596" s="8"/>
    </row>
    <row r="597" spans="1:9" x14ac:dyDescent="0.25">
      <c r="A597" s="13" t="s">
        <v>11</v>
      </c>
      <c r="B597" s="4" t="s">
        <v>109</v>
      </c>
      <c r="C597" s="4" t="s">
        <v>77</v>
      </c>
      <c r="D597" s="16" t="s">
        <v>310</v>
      </c>
      <c r="E597" s="16" t="s">
        <v>691</v>
      </c>
      <c r="F597" s="16" t="s">
        <v>207</v>
      </c>
      <c r="G597" s="8"/>
      <c r="H597" s="8"/>
      <c r="I597" s="8"/>
    </row>
    <row r="598" spans="1:9" x14ac:dyDescent="0.25">
      <c r="A598" s="13" t="s">
        <v>11</v>
      </c>
      <c r="B598" s="4" t="s">
        <v>109</v>
      </c>
      <c r="C598" s="4" t="s">
        <v>77</v>
      </c>
      <c r="D598" s="16" t="s">
        <v>508</v>
      </c>
      <c r="E598" s="16" t="s">
        <v>513</v>
      </c>
      <c r="F598" s="16" t="s">
        <v>207</v>
      </c>
      <c r="G598" s="8"/>
      <c r="H598" s="8"/>
      <c r="I598" s="8"/>
    </row>
    <row r="599" spans="1:9" x14ac:dyDescent="0.25">
      <c r="A599" s="13" t="s">
        <v>11</v>
      </c>
      <c r="B599" s="4" t="s">
        <v>109</v>
      </c>
      <c r="C599" s="4" t="s">
        <v>77</v>
      </c>
      <c r="D599" s="16" t="s">
        <v>509</v>
      </c>
      <c r="E599" s="16" t="s">
        <v>514</v>
      </c>
      <c r="F599" s="16" t="s">
        <v>207</v>
      </c>
      <c r="G599" s="8"/>
      <c r="H599" s="8"/>
      <c r="I599" s="8"/>
    </row>
    <row r="600" spans="1:9" x14ac:dyDescent="0.25">
      <c r="A600" s="13" t="s">
        <v>11</v>
      </c>
      <c r="B600" s="4" t="s">
        <v>109</v>
      </c>
      <c r="C600" s="4" t="s">
        <v>77</v>
      </c>
      <c r="D600" s="16" t="s">
        <v>510</v>
      </c>
      <c r="E600" s="16" t="s">
        <v>515</v>
      </c>
      <c r="F600" s="16" t="s">
        <v>207</v>
      </c>
      <c r="G600" s="8"/>
      <c r="H600" s="8"/>
      <c r="I600" s="8"/>
    </row>
    <row r="601" spans="1:9" ht="30" x14ac:dyDescent="0.25">
      <c r="A601" s="13" t="s">
        <v>11</v>
      </c>
      <c r="B601" s="4" t="s">
        <v>109</v>
      </c>
      <c r="C601" s="4" t="s">
        <v>77</v>
      </c>
      <c r="D601" s="16" t="s">
        <v>518</v>
      </c>
      <c r="E601" s="16" t="s">
        <v>520</v>
      </c>
      <c r="F601" s="16" t="s">
        <v>207</v>
      </c>
      <c r="G601" s="8"/>
      <c r="H601" s="8"/>
      <c r="I601" s="8"/>
    </row>
    <row r="602" spans="1:9" ht="30" x14ac:dyDescent="0.25">
      <c r="A602" s="13" t="s">
        <v>11</v>
      </c>
      <c r="B602" s="4" t="s">
        <v>109</v>
      </c>
      <c r="C602" s="4" t="s">
        <v>77</v>
      </c>
      <c r="D602" s="16" t="s">
        <v>311</v>
      </c>
      <c r="E602" s="16" t="s">
        <v>519</v>
      </c>
      <c r="F602" s="16" t="s">
        <v>208</v>
      </c>
      <c r="G602" s="8"/>
      <c r="H602" s="8"/>
      <c r="I602" s="8"/>
    </row>
    <row r="603" spans="1:9" x14ac:dyDescent="0.25">
      <c r="A603" s="13" t="s">
        <v>11</v>
      </c>
      <c r="B603" s="4" t="s">
        <v>109</v>
      </c>
      <c r="C603" s="4" t="s">
        <v>77</v>
      </c>
      <c r="D603" s="16" t="s">
        <v>292</v>
      </c>
      <c r="E603" s="16" t="s">
        <v>292</v>
      </c>
      <c r="F603" s="8"/>
      <c r="G603" s="8"/>
      <c r="H603" s="8"/>
      <c r="I603" s="8"/>
    </row>
    <row r="604" spans="1:9" x14ac:dyDescent="0.25">
      <c r="A604" s="13" t="s">
        <v>11</v>
      </c>
      <c r="B604" s="4" t="s">
        <v>109</v>
      </c>
      <c r="C604" s="4" t="s">
        <v>77</v>
      </c>
      <c r="D604" s="16" t="s">
        <v>293</v>
      </c>
      <c r="E604" s="16" t="s">
        <v>293</v>
      </c>
      <c r="F604" s="8"/>
      <c r="G604" s="8"/>
      <c r="H604" s="8"/>
      <c r="I604" s="8"/>
    </row>
    <row r="605" spans="1:9" x14ac:dyDescent="0.25">
      <c r="A605" s="13" t="s">
        <v>11</v>
      </c>
      <c r="B605" s="4" t="s">
        <v>109</v>
      </c>
      <c r="C605" s="4" t="s">
        <v>77</v>
      </c>
      <c r="D605" s="16" t="s">
        <v>294</v>
      </c>
      <c r="E605" s="16" t="s">
        <v>294</v>
      </c>
      <c r="F605" s="8"/>
      <c r="G605" s="8"/>
      <c r="H605" s="8"/>
      <c r="I605" s="8"/>
    </row>
    <row r="606" spans="1:9" x14ac:dyDescent="0.25">
      <c r="A606" s="13" t="s">
        <v>11</v>
      </c>
      <c r="B606" s="4" t="s">
        <v>109</v>
      </c>
      <c r="C606" s="4" t="s">
        <v>77</v>
      </c>
      <c r="D606" s="22" t="s">
        <v>309</v>
      </c>
      <c r="E606" s="22" t="s">
        <v>203</v>
      </c>
      <c r="F606" s="8"/>
      <c r="G606" s="8"/>
      <c r="H606" s="8"/>
      <c r="I606" s="8"/>
    </row>
    <row r="607" spans="1:9" x14ac:dyDescent="0.25">
      <c r="A607" s="13" t="s">
        <v>11</v>
      </c>
      <c r="B607" s="4" t="s">
        <v>109</v>
      </c>
      <c r="C607" s="4" t="s">
        <v>77</v>
      </c>
      <c r="D607" s="16" t="s">
        <v>295</v>
      </c>
      <c r="E607" s="16" t="s">
        <v>295</v>
      </c>
      <c r="F607" s="8"/>
      <c r="G607" s="8"/>
      <c r="H607" s="8"/>
      <c r="I607" s="8"/>
    </row>
    <row r="608" spans="1:9" x14ac:dyDescent="0.25">
      <c r="A608" s="13" t="s">
        <v>11</v>
      </c>
      <c r="B608" s="4" t="s">
        <v>109</v>
      </c>
      <c r="C608" s="4" t="s">
        <v>77</v>
      </c>
      <c r="D608" s="16" t="s">
        <v>296</v>
      </c>
      <c r="E608" s="16" t="s">
        <v>296</v>
      </c>
      <c r="F608" s="8"/>
      <c r="G608" s="8"/>
      <c r="H608" s="8"/>
      <c r="I608" s="8"/>
    </row>
    <row r="609" spans="1:9" x14ac:dyDescent="0.25">
      <c r="A609" s="13" t="s">
        <v>11</v>
      </c>
      <c r="B609" s="4" t="s">
        <v>109</v>
      </c>
      <c r="C609" s="4" t="s">
        <v>77</v>
      </c>
      <c r="D609" s="16" t="s">
        <v>297</v>
      </c>
      <c r="E609" s="16" t="s">
        <v>297</v>
      </c>
      <c r="F609" s="8"/>
      <c r="G609" s="8"/>
      <c r="H609" s="8"/>
      <c r="I609" s="8"/>
    </row>
    <row r="610" spans="1:9" x14ac:dyDescent="0.25">
      <c r="A610" s="13" t="s">
        <v>11</v>
      </c>
      <c r="B610" s="4" t="s">
        <v>109</v>
      </c>
      <c r="C610" s="4" t="s">
        <v>77</v>
      </c>
      <c r="D610" s="16" t="s">
        <v>298</v>
      </c>
      <c r="E610" s="16" t="s">
        <v>298</v>
      </c>
      <c r="F610" s="8"/>
      <c r="G610" s="8"/>
      <c r="H610" s="8"/>
      <c r="I610" s="8"/>
    </row>
    <row r="611" spans="1:9" x14ac:dyDescent="0.25">
      <c r="A611" s="13" t="s">
        <v>11</v>
      </c>
      <c r="B611" s="4" t="s">
        <v>109</v>
      </c>
      <c r="C611" s="4" t="s">
        <v>77</v>
      </c>
      <c r="D611" s="16" t="s">
        <v>299</v>
      </c>
      <c r="E611" s="16" t="s">
        <v>299</v>
      </c>
      <c r="F611" s="8"/>
      <c r="G611" s="8"/>
      <c r="H611" s="8"/>
      <c r="I611" s="8"/>
    </row>
    <row r="612" spans="1:9" x14ac:dyDescent="0.25">
      <c r="A612" s="13" t="s">
        <v>11</v>
      </c>
      <c r="B612" s="4" t="s">
        <v>109</v>
      </c>
      <c r="C612" s="4" t="s">
        <v>77</v>
      </c>
      <c r="D612" s="16" t="s">
        <v>300</v>
      </c>
      <c r="E612" s="16" t="s">
        <v>300</v>
      </c>
      <c r="F612" s="8"/>
      <c r="G612" s="8"/>
      <c r="H612" s="8"/>
      <c r="I612" s="8"/>
    </row>
    <row r="613" spans="1:9" x14ac:dyDescent="0.25">
      <c r="A613" s="13" t="s">
        <v>11</v>
      </c>
      <c r="B613" s="4" t="s">
        <v>109</v>
      </c>
      <c r="C613" s="4" t="s">
        <v>77</v>
      </c>
      <c r="D613" s="16" t="s">
        <v>301</v>
      </c>
      <c r="E613" s="16" t="s">
        <v>301</v>
      </c>
      <c r="F613" s="8"/>
      <c r="G613" s="8"/>
      <c r="H613" s="8"/>
      <c r="I613" s="8"/>
    </row>
    <row r="614" spans="1:9" x14ac:dyDescent="0.25">
      <c r="A614" s="13" t="s">
        <v>11</v>
      </c>
      <c r="B614" s="4" t="s">
        <v>109</v>
      </c>
      <c r="C614" s="4" t="s">
        <v>77</v>
      </c>
      <c r="D614" s="16" t="s">
        <v>244</v>
      </c>
      <c r="E614" s="16" t="s">
        <v>244</v>
      </c>
      <c r="F614" s="8"/>
      <c r="G614" s="8"/>
      <c r="H614" s="8"/>
      <c r="I614" s="8"/>
    </row>
    <row r="615" spans="1:9" x14ac:dyDescent="0.25">
      <c r="A615" s="13" t="s">
        <v>11</v>
      </c>
      <c r="B615" s="4" t="s">
        <v>109</v>
      </c>
      <c r="C615" s="4" t="s">
        <v>77</v>
      </c>
      <c r="D615" s="16" t="s">
        <v>302</v>
      </c>
      <c r="E615" s="16" t="s">
        <v>302</v>
      </c>
      <c r="F615" s="8"/>
      <c r="G615" s="8"/>
      <c r="H615" s="8"/>
      <c r="I615" s="8"/>
    </row>
    <row r="616" spans="1:9" x14ac:dyDescent="0.25">
      <c r="A616" s="13" t="s">
        <v>11</v>
      </c>
      <c r="B616" s="4" t="s">
        <v>109</v>
      </c>
      <c r="C616" s="4" t="s">
        <v>77</v>
      </c>
      <c r="D616" s="16" t="s">
        <v>303</v>
      </c>
      <c r="E616" s="16" t="s">
        <v>303</v>
      </c>
      <c r="F616" s="8"/>
      <c r="G616" s="8"/>
      <c r="H616" s="8"/>
      <c r="I616" s="8"/>
    </row>
    <row r="617" spans="1:9" x14ac:dyDescent="0.25">
      <c r="A617" s="13" t="s">
        <v>11</v>
      </c>
      <c r="B617" s="4" t="s">
        <v>109</v>
      </c>
      <c r="C617" s="4" t="s">
        <v>95</v>
      </c>
      <c r="D617" s="16" t="str">
        <f t="shared" ref="D617:D623" si="0">I617&amp;".txt"</f>
        <v>hazards-export.txt</v>
      </c>
      <c r="E617" s="16"/>
      <c r="F617" s="47"/>
      <c r="G617" s="16" t="s">
        <v>10</v>
      </c>
      <c r="H617" s="16" t="s">
        <v>10</v>
      </c>
      <c r="I617" s="16" t="s">
        <v>186</v>
      </c>
    </row>
    <row r="618" spans="1:9" x14ac:dyDescent="0.25">
      <c r="A618" s="13" t="s">
        <v>11</v>
      </c>
      <c r="B618" s="4" t="s">
        <v>109</v>
      </c>
      <c r="C618" s="4" t="s">
        <v>96</v>
      </c>
      <c r="D618" s="16" t="str">
        <f t="shared" si="0"/>
        <v>causes-export.txt</v>
      </c>
      <c r="E618" s="16" t="s">
        <v>81</v>
      </c>
      <c r="F618" s="16" t="s">
        <v>126</v>
      </c>
      <c r="G618" s="16" t="s">
        <v>8</v>
      </c>
      <c r="H618" s="16" t="s">
        <v>8</v>
      </c>
      <c r="I618" s="16" t="s">
        <v>184</v>
      </c>
    </row>
    <row r="619" spans="1:9" x14ac:dyDescent="0.25">
      <c r="A619" s="13" t="s">
        <v>11</v>
      </c>
      <c r="B619" s="4" t="s">
        <v>109</v>
      </c>
      <c r="C619" s="4" t="s">
        <v>96</v>
      </c>
      <c r="D619" s="16" t="str">
        <f t="shared" si="0"/>
        <v>controls-export.txt</v>
      </c>
      <c r="E619" s="16" t="s">
        <v>81</v>
      </c>
      <c r="F619" s="16" t="s">
        <v>148</v>
      </c>
      <c r="G619" s="16" t="s">
        <v>9</v>
      </c>
      <c r="H619" s="16" t="s">
        <v>9</v>
      </c>
      <c r="I619" s="16" t="s">
        <v>185</v>
      </c>
    </row>
    <row r="620" spans="1:9" x14ac:dyDescent="0.25">
      <c r="A620" s="13" t="s">
        <v>11</v>
      </c>
      <c r="B620" s="4" t="s">
        <v>109</v>
      </c>
      <c r="C620" s="4" t="s">
        <v>96</v>
      </c>
      <c r="D620" s="16" t="str">
        <f t="shared" si="0"/>
        <v>module-list.txt</v>
      </c>
      <c r="E620" s="16" t="s">
        <v>81</v>
      </c>
      <c r="F620" s="16" t="s">
        <v>284</v>
      </c>
      <c r="G620" s="16" t="s">
        <v>313</v>
      </c>
      <c r="H620" s="16" t="s">
        <v>315</v>
      </c>
      <c r="I620" s="16" t="s">
        <v>314</v>
      </c>
    </row>
    <row r="621" spans="1:9" x14ac:dyDescent="0.25">
      <c r="A621" s="13" t="s">
        <v>11</v>
      </c>
      <c r="B621" s="4" t="s">
        <v>109</v>
      </c>
      <c r="C621" s="4" t="s">
        <v>96</v>
      </c>
      <c r="D621" s="16" t="str">
        <f t="shared" si="0"/>
        <v>tle-register-export.txt</v>
      </c>
      <c r="E621" s="16" t="s">
        <v>81</v>
      </c>
      <c r="F621" s="16" t="s">
        <v>288</v>
      </c>
      <c r="G621" s="16" t="s">
        <v>317</v>
      </c>
      <c r="H621" s="16" t="s">
        <v>316</v>
      </c>
      <c r="I621" s="16" t="s">
        <v>319</v>
      </c>
    </row>
    <row r="622" spans="1:9" x14ac:dyDescent="0.25">
      <c r="A622" s="13" t="s">
        <v>11</v>
      </c>
      <c r="B622" s="4" t="s">
        <v>109</v>
      </c>
      <c r="C622" s="4" t="s">
        <v>96</v>
      </c>
      <c r="D622" s="16" t="str">
        <f t="shared" si="0"/>
        <v>controls-export.txt</v>
      </c>
      <c r="E622" s="16" t="s">
        <v>81</v>
      </c>
      <c r="F622" s="16" t="s">
        <v>149</v>
      </c>
      <c r="G622" s="16" t="s">
        <v>9</v>
      </c>
      <c r="H622" s="16" t="s">
        <v>9</v>
      </c>
      <c r="I622" s="16" t="s">
        <v>185</v>
      </c>
    </row>
    <row r="623" spans="1:9" ht="30" x14ac:dyDescent="0.25">
      <c r="A623" s="13" t="s">
        <v>11</v>
      </c>
      <c r="B623" s="4" t="s">
        <v>109</v>
      </c>
      <c r="C623" s="4" t="s">
        <v>96</v>
      </c>
      <c r="D623" s="16" t="str">
        <f t="shared" si="0"/>
        <v>ratm-export.txt</v>
      </c>
      <c r="E623" s="16" t="s">
        <v>81</v>
      </c>
      <c r="F623" s="16" t="s">
        <v>104</v>
      </c>
      <c r="G623" s="16" t="s">
        <v>2</v>
      </c>
      <c r="H623" s="16" t="s">
        <v>59</v>
      </c>
      <c r="I623" s="16" t="s">
        <v>188</v>
      </c>
    </row>
    <row r="624" spans="1:9" x14ac:dyDescent="0.25">
      <c r="A624" s="13" t="s">
        <v>11</v>
      </c>
      <c r="B624" s="4" t="s">
        <v>767</v>
      </c>
      <c r="C624" s="4" t="s">
        <v>77</v>
      </c>
      <c r="D624" s="16" t="s">
        <v>768</v>
      </c>
      <c r="E624" s="16" t="s">
        <v>81</v>
      </c>
      <c r="F624" s="8"/>
      <c r="G624" s="8"/>
      <c r="H624" s="8"/>
      <c r="I624" s="8"/>
    </row>
    <row r="625" spans="1:9" x14ac:dyDescent="0.25">
      <c r="A625" s="13" t="s">
        <v>11</v>
      </c>
      <c r="B625" s="4" t="s">
        <v>767</v>
      </c>
      <c r="C625" s="4" t="s">
        <v>77</v>
      </c>
      <c r="D625" s="16" t="s">
        <v>769</v>
      </c>
      <c r="E625" s="16" t="s">
        <v>769</v>
      </c>
      <c r="F625" s="8"/>
      <c r="G625" s="8"/>
      <c r="H625" s="8"/>
      <c r="I625" s="8"/>
    </row>
    <row r="626" spans="1:9" x14ac:dyDescent="0.25">
      <c r="A626" s="13" t="s">
        <v>11</v>
      </c>
      <c r="B626" s="4" t="s">
        <v>767</v>
      </c>
      <c r="C626" s="4" t="s">
        <v>77</v>
      </c>
      <c r="D626" s="16" t="s">
        <v>82</v>
      </c>
      <c r="E626" s="16" t="s">
        <v>79</v>
      </c>
      <c r="F626" s="8"/>
      <c r="G626" s="8"/>
      <c r="H626" s="8"/>
      <c r="I626" s="8"/>
    </row>
    <row r="627" spans="1:9" x14ac:dyDescent="0.25">
      <c r="A627" s="13" t="s">
        <v>11</v>
      </c>
      <c r="B627" s="4" t="s">
        <v>767</v>
      </c>
      <c r="C627" s="4" t="s">
        <v>77</v>
      </c>
      <c r="D627" s="16" t="s">
        <v>86</v>
      </c>
      <c r="E627" s="16" t="s">
        <v>87</v>
      </c>
      <c r="F627" s="8"/>
      <c r="G627" s="8"/>
      <c r="H627" s="8"/>
      <c r="I627" s="8"/>
    </row>
    <row r="628" spans="1:9" x14ac:dyDescent="0.25">
      <c r="A628" s="13" t="s">
        <v>11</v>
      </c>
      <c r="B628" s="4" t="s">
        <v>767</v>
      </c>
      <c r="C628" s="4" t="s">
        <v>77</v>
      </c>
      <c r="D628" s="16" t="s">
        <v>88</v>
      </c>
      <c r="E628" s="16" t="s">
        <v>88</v>
      </c>
      <c r="F628" s="8"/>
      <c r="G628" s="8"/>
      <c r="H628" s="8"/>
      <c r="I628" s="8"/>
    </row>
    <row r="629" spans="1:9" x14ac:dyDescent="0.25">
      <c r="A629" s="13" t="s">
        <v>11</v>
      </c>
      <c r="B629" s="4" t="s">
        <v>767</v>
      </c>
      <c r="C629" s="4" t="s">
        <v>77</v>
      </c>
      <c r="D629" s="16" t="s">
        <v>99</v>
      </c>
      <c r="E629" s="16" t="s">
        <v>99</v>
      </c>
      <c r="F629" s="8"/>
      <c r="G629" s="8"/>
      <c r="H629" s="8"/>
      <c r="I629" s="8"/>
    </row>
    <row r="630" spans="1:9" x14ac:dyDescent="0.25">
      <c r="A630" s="13" t="s">
        <v>11</v>
      </c>
      <c r="B630" s="4" t="s">
        <v>767</v>
      </c>
      <c r="C630" s="4" t="s">
        <v>77</v>
      </c>
      <c r="D630" s="16" t="s">
        <v>78</v>
      </c>
      <c r="E630" s="16" t="s">
        <v>79</v>
      </c>
      <c r="F630" s="16" t="s">
        <v>104</v>
      </c>
      <c r="G630" s="8"/>
      <c r="H630" s="8"/>
      <c r="I630" s="8"/>
    </row>
    <row r="631" spans="1:9" x14ac:dyDescent="0.25">
      <c r="A631" s="13" t="s">
        <v>11</v>
      </c>
      <c r="B631" s="4" t="s">
        <v>767</v>
      </c>
      <c r="C631" s="4" t="s">
        <v>77</v>
      </c>
      <c r="D631" s="16" t="s">
        <v>770</v>
      </c>
      <c r="E631" s="16" t="s">
        <v>770</v>
      </c>
      <c r="F631" s="8"/>
      <c r="G631" s="8"/>
      <c r="H631" s="8"/>
      <c r="I631" s="8"/>
    </row>
    <row r="632" spans="1:9" x14ac:dyDescent="0.25">
      <c r="A632" s="13" t="s">
        <v>11</v>
      </c>
      <c r="B632" s="4" t="s">
        <v>767</v>
      </c>
      <c r="C632" s="4" t="s">
        <v>77</v>
      </c>
      <c r="D632" s="16" t="s">
        <v>771</v>
      </c>
      <c r="E632" s="16" t="s">
        <v>771</v>
      </c>
      <c r="F632" s="8"/>
      <c r="G632" s="8"/>
      <c r="H632" s="8"/>
      <c r="I632" s="8"/>
    </row>
    <row r="633" spans="1:9" x14ac:dyDescent="0.25">
      <c r="A633" s="13" t="s">
        <v>11</v>
      </c>
      <c r="B633" s="4" t="s">
        <v>767</v>
      </c>
      <c r="C633" s="4" t="s">
        <v>77</v>
      </c>
      <c r="D633" s="16" t="s">
        <v>790</v>
      </c>
      <c r="E633" s="16" t="s">
        <v>791</v>
      </c>
      <c r="F633" s="8"/>
      <c r="G633" s="8"/>
      <c r="H633" s="8"/>
      <c r="I633" s="8"/>
    </row>
    <row r="634" spans="1:9" ht="30" x14ac:dyDescent="0.25">
      <c r="A634" s="13" t="s">
        <v>11</v>
      </c>
      <c r="B634" s="4" t="s">
        <v>767</v>
      </c>
      <c r="C634" s="4" t="s">
        <v>77</v>
      </c>
      <c r="D634" s="16" t="s">
        <v>772</v>
      </c>
      <c r="E634" s="16" t="s">
        <v>792</v>
      </c>
      <c r="F634" s="8"/>
      <c r="G634" s="8"/>
      <c r="H634" s="8"/>
      <c r="I634" s="8"/>
    </row>
    <row r="635" spans="1:9" x14ac:dyDescent="0.25">
      <c r="A635" s="13" t="s">
        <v>11</v>
      </c>
      <c r="B635" s="4" t="s">
        <v>767</v>
      </c>
      <c r="C635" s="4" t="s">
        <v>77</v>
      </c>
      <c r="D635" s="16" t="s">
        <v>773</v>
      </c>
      <c r="E635" s="16" t="s">
        <v>794</v>
      </c>
      <c r="F635" s="8"/>
      <c r="G635" s="8"/>
      <c r="H635" s="8"/>
      <c r="I635" s="8"/>
    </row>
    <row r="636" spans="1:9" x14ac:dyDescent="0.25">
      <c r="A636" s="13" t="s">
        <v>11</v>
      </c>
      <c r="B636" s="4" t="s">
        <v>767</v>
      </c>
      <c r="C636" s="4" t="s">
        <v>77</v>
      </c>
      <c r="D636" s="16" t="s">
        <v>774</v>
      </c>
      <c r="E636" s="16" t="s">
        <v>793</v>
      </c>
      <c r="F636" s="8"/>
      <c r="G636" s="8"/>
      <c r="H636" s="8"/>
      <c r="I636" s="8"/>
    </row>
    <row r="637" spans="1:9" x14ac:dyDescent="0.25">
      <c r="A637" s="13" t="s">
        <v>11</v>
      </c>
      <c r="B637" s="4" t="s">
        <v>767</v>
      </c>
      <c r="C637" s="4" t="s">
        <v>77</v>
      </c>
      <c r="D637" s="16" t="s">
        <v>775</v>
      </c>
      <c r="E637" s="16" t="s">
        <v>775</v>
      </c>
      <c r="F637" s="8"/>
      <c r="G637" s="8"/>
      <c r="H637" s="8"/>
      <c r="I637" s="8"/>
    </row>
    <row r="638" spans="1:9" x14ac:dyDescent="0.25">
      <c r="A638" s="13" t="s">
        <v>11</v>
      </c>
      <c r="B638" s="4" t="s">
        <v>767</v>
      </c>
      <c r="C638" s="4" t="s">
        <v>77</v>
      </c>
      <c r="D638" s="16" t="s">
        <v>776</v>
      </c>
      <c r="E638" s="16" t="s">
        <v>776</v>
      </c>
      <c r="F638" s="8"/>
      <c r="G638" s="8"/>
      <c r="H638" s="8"/>
      <c r="I638" s="8"/>
    </row>
    <row r="639" spans="1:9" x14ac:dyDescent="0.25">
      <c r="A639" s="13" t="s">
        <v>11</v>
      </c>
      <c r="B639" s="4" t="s">
        <v>767</v>
      </c>
      <c r="C639" s="4" t="s">
        <v>77</v>
      </c>
      <c r="D639" s="16" t="s">
        <v>777</v>
      </c>
      <c r="E639" s="16" t="s">
        <v>777</v>
      </c>
      <c r="F639" s="8"/>
      <c r="G639" s="8"/>
      <c r="H639" s="8"/>
      <c r="I639" s="8"/>
    </row>
    <row r="640" spans="1:9" x14ac:dyDescent="0.25">
      <c r="A640" s="13" t="s">
        <v>11</v>
      </c>
      <c r="B640" s="4" t="s">
        <v>767</v>
      </c>
      <c r="C640" s="4" t="s">
        <v>77</v>
      </c>
      <c r="D640" s="16" t="s">
        <v>778</v>
      </c>
      <c r="E640" s="16" t="s">
        <v>778</v>
      </c>
      <c r="F640" s="8"/>
      <c r="G640" s="8"/>
      <c r="H640" s="8"/>
      <c r="I640" s="8"/>
    </row>
    <row r="641" spans="1:9" x14ac:dyDescent="0.25">
      <c r="A641" s="13" t="s">
        <v>11</v>
      </c>
      <c r="B641" s="4" t="s">
        <v>767</v>
      </c>
      <c r="C641" s="4" t="s">
        <v>77</v>
      </c>
      <c r="D641" s="16" t="s">
        <v>779</v>
      </c>
      <c r="E641" s="16" t="s">
        <v>779</v>
      </c>
      <c r="F641" s="8"/>
      <c r="G641" s="8"/>
      <c r="H641" s="8"/>
      <c r="I641" s="8"/>
    </row>
    <row r="642" spans="1:9" x14ac:dyDescent="0.25">
      <c r="A642" s="13" t="s">
        <v>11</v>
      </c>
      <c r="B642" s="4" t="s">
        <v>767</v>
      </c>
      <c r="C642" s="4" t="s">
        <v>77</v>
      </c>
      <c r="D642" s="16" t="s">
        <v>780</v>
      </c>
      <c r="E642" s="16" t="s">
        <v>780</v>
      </c>
      <c r="F642" s="8"/>
      <c r="G642" s="8"/>
      <c r="H642" s="8"/>
      <c r="I642" s="8"/>
    </row>
    <row r="643" spans="1:9" x14ac:dyDescent="0.25">
      <c r="A643" s="13" t="s">
        <v>11</v>
      </c>
      <c r="B643" s="4" t="s">
        <v>767</v>
      </c>
      <c r="C643" s="4" t="s">
        <v>77</v>
      </c>
      <c r="D643" s="16" t="s">
        <v>781</v>
      </c>
      <c r="E643" s="16" t="s">
        <v>781</v>
      </c>
      <c r="F643" s="8"/>
      <c r="G643" s="8"/>
      <c r="H643" s="8"/>
      <c r="I643" s="8"/>
    </row>
    <row r="644" spans="1:9" x14ac:dyDescent="0.25">
      <c r="A644" s="13" t="s">
        <v>11</v>
      </c>
      <c r="B644" s="4" t="s">
        <v>767</v>
      </c>
      <c r="C644" s="4" t="s">
        <v>77</v>
      </c>
      <c r="D644" s="16" t="s">
        <v>782</v>
      </c>
      <c r="E644" s="16" t="s">
        <v>782</v>
      </c>
      <c r="F644" s="8"/>
      <c r="G644" s="8"/>
      <c r="H644" s="8"/>
      <c r="I644" s="8"/>
    </row>
    <row r="645" spans="1:9" x14ac:dyDescent="0.25">
      <c r="A645" s="13" t="s">
        <v>11</v>
      </c>
      <c r="B645" s="4" t="s">
        <v>767</v>
      </c>
      <c r="C645" s="4" t="s">
        <v>77</v>
      </c>
      <c r="D645" s="16" t="s">
        <v>783</v>
      </c>
      <c r="E645" s="16" t="s">
        <v>783</v>
      </c>
      <c r="F645" s="8"/>
      <c r="G645" s="8"/>
      <c r="H645" s="8"/>
      <c r="I645" s="8"/>
    </row>
    <row r="646" spans="1:9" x14ac:dyDescent="0.25">
      <c r="A646" s="13" t="s">
        <v>11</v>
      </c>
      <c r="B646" s="4" t="s">
        <v>767</v>
      </c>
      <c r="C646" s="4" t="s">
        <v>77</v>
      </c>
      <c r="D646" s="16" t="s">
        <v>395</v>
      </c>
      <c r="E646" s="16" t="s">
        <v>395</v>
      </c>
      <c r="F646" s="8"/>
      <c r="G646" s="8"/>
      <c r="H646" s="8"/>
      <c r="I646" s="8"/>
    </row>
    <row r="647" spans="1:9" x14ac:dyDescent="0.25">
      <c r="A647" s="13" t="s">
        <v>11</v>
      </c>
      <c r="B647" s="4" t="s">
        <v>767</v>
      </c>
      <c r="C647" s="4" t="s">
        <v>77</v>
      </c>
      <c r="D647" s="16" t="s">
        <v>795</v>
      </c>
      <c r="E647" s="16" t="s">
        <v>795</v>
      </c>
      <c r="F647" s="8"/>
      <c r="G647" s="8"/>
      <c r="H647" s="8"/>
      <c r="I647" s="8"/>
    </row>
    <row r="648" spans="1:9" x14ac:dyDescent="0.25">
      <c r="A648" s="13" t="s">
        <v>11</v>
      </c>
      <c r="B648" s="4" t="s">
        <v>767</v>
      </c>
      <c r="C648" s="4" t="s">
        <v>77</v>
      </c>
      <c r="D648" s="16" t="s">
        <v>784</v>
      </c>
      <c r="E648" s="16" t="s">
        <v>784</v>
      </c>
      <c r="F648" s="8"/>
      <c r="G648" s="8"/>
      <c r="H648" s="8"/>
      <c r="I648" s="8"/>
    </row>
    <row r="649" spans="1:9" x14ac:dyDescent="0.25">
      <c r="A649" s="13" t="s">
        <v>11</v>
      </c>
      <c r="B649" s="4" t="s">
        <v>767</v>
      </c>
      <c r="C649" s="4" t="s">
        <v>77</v>
      </c>
      <c r="D649" s="16" t="s">
        <v>785</v>
      </c>
      <c r="E649" s="16" t="s">
        <v>785</v>
      </c>
      <c r="F649" s="8"/>
      <c r="G649" s="8"/>
      <c r="H649" s="8"/>
      <c r="I649" s="8"/>
    </row>
    <row r="650" spans="1:9" x14ac:dyDescent="0.25">
      <c r="A650" s="13" t="s">
        <v>11</v>
      </c>
      <c r="B650" s="4" t="s">
        <v>767</v>
      </c>
      <c r="C650" s="4" t="s">
        <v>77</v>
      </c>
      <c r="D650" s="16" t="s">
        <v>786</v>
      </c>
      <c r="E650" s="16" t="s">
        <v>786</v>
      </c>
      <c r="F650" s="8"/>
      <c r="G650" s="8"/>
      <c r="H650" s="8"/>
      <c r="I650" s="8"/>
    </row>
    <row r="651" spans="1:9" x14ac:dyDescent="0.25">
      <c r="A651" s="13" t="s">
        <v>11</v>
      </c>
      <c r="B651" s="4" t="s">
        <v>767</v>
      </c>
      <c r="C651" s="4" t="s">
        <v>77</v>
      </c>
      <c r="D651" s="16" t="s">
        <v>787</v>
      </c>
      <c r="E651" s="16" t="s">
        <v>787</v>
      </c>
      <c r="F651" s="8"/>
      <c r="G651" s="8"/>
      <c r="H651" s="8"/>
      <c r="I651" s="8"/>
    </row>
    <row r="652" spans="1:9" x14ac:dyDescent="0.25">
      <c r="A652" s="13" t="s">
        <v>11</v>
      </c>
      <c r="B652" s="4" t="s">
        <v>767</v>
      </c>
      <c r="C652" s="4" t="s">
        <v>77</v>
      </c>
      <c r="D652" s="16" t="s">
        <v>89</v>
      </c>
      <c r="E652" s="16" t="s">
        <v>89</v>
      </c>
      <c r="F652" s="16" t="s">
        <v>104</v>
      </c>
      <c r="G652" s="8"/>
      <c r="H652" s="8"/>
      <c r="I652" s="8"/>
    </row>
    <row r="653" spans="1:9" x14ac:dyDescent="0.25">
      <c r="A653" s="13" t="s">
        <v>11</v>
      </c>
      <c r="B653" s="4" t="s">
        <v>767</v>
      </c>
      <c r="C653" s="4" t="s">
        <v>77</v>
      </c>
      <c r="D653" s="16" t="s">
        <v>90</v>
      </c>
      <c r="E653" s="16" t="s">
        <v>91</v>
      </c>
      <c r="F653" s="16" t="s">
        <v>204</v>
      </c>
      <c r="G653" s="8"/>
      <c r="H653" s="8"/>
      <c r="I653" s="8"/>
    </row>
    <row r="654" spans="1:9" x14ac:dyDescent="0.25">
      <c r="A654" s="13" t="s">
        <v>11</v>
      </c>
      <c r="B654" s="4" t="s">
        <v>767</v>
      </c>
      <c r="C654" s="4" t="s">
        <v>77</v>
      </c>
      <c r="D654" s="16" t="s">
        <v>93</v>
      </c>
      <c r="E654" s="16" t="s">
        <v>93</v>
      </c>
      <c r="F654" s="16" t="s">
        <v>104</v>
      </c>
      <c r="G654" s="8"/>
      <c r="H654" s="8"/>
      <c r="I654" s="8"/>
    </row>
    <row r="655" spans="1:9" ht="30" x14ac:dyDescent="0.25">
      <c r="A655" s="13" t="s">
        <v>11</v>
      </c>
      <c r="B655" s="4" t="s">
        <v>767</v>
      </c>
      <c r="C655" s="4" t="s">
        <v>95</v>
      </c>
      <c r="D655" s="16" t="str">
        <f>I655&amp;".txt"</f>
        <v>cpm-export.txt</v>
      </c>
      <c r="E655" s="16" t="s">
        <v>81</v>
      </c>
      <c r="F655" s="47"/>
      <c r="G655" s="16" t="s">
        <v>2</v>
      </c>
      <c r="H655" s="16" t="s">
        <v>400</v>
      </c>
      <c r="I655" s="16" t="s">
        <v>789</v>
      </c>
    </row>
    <row r="656" spans="1:9" ht="30" x14ac:dyDescent="0.25">
      <c r="A656" s="13" t="s">
        <v>11</v>
      </c>
      <c r="B656" s="4" t="s">
        <v>767</v>
      </c>
      <c r="C656" s="4" t="s">
        <v>96</v>
      </c>
      <c r="D656" s="16" t="str">
        <f>I656&amp;".txt"</f>
        <v>rvtm-des-export.txt</v>
      </c>
      <c r="E656" s="16" t="s">
        <v>81</v>
      </c>
      <c r="F656" s="16" t="s">
        <v>104</v>
      </c>
      <c r="G656" s="16" t="s">
        <v>7</v>
      </c>
      <c r="H656" s="16" t="s">
        <v>60</v>
      </c>
      <c r="I656" s="16" t="s">
        <v>189</v>
      </c>
    </row>
    <row r="657" spans="1:9" ht="30" x14ac:dyDescent="0.25">
      <c r="A657" s="13" t="s">
        <v>11</v>
      </c>
      <c r="B657" s="4" t="s">
        <v>767</v>
      </c>
      <c r="C657" s="4" t="s">
        <v>96</v>
      </c>
      <c r="D657" s="16" t="str">
        <f>I657&amp;".txt"</f>
        <v>document-register-export.txt</v>
      </c>
      <c r="E657" s="16" t="s">
        <v>81</v>
      </c>
      <c r="F657" s="16" t="s">
        <v>92</v>
      </c>
      <c r="G657" s="16" t="s">
        <v>4</v>
      </c>
      <c r="H657" s="16" t="s">
        <v>4</v>
      </c>
      <c r="I657" s="16" t="s">
        <v>192</v>
      </c>
    </row>
    <row r="658" spans="1:9" x14ac:dyDescent="0.25">
      <c r="A658" s="13" t="s">
        <v>11</v>
      </c>
      <c r="B658" s="4" t="s">
        <v>796</v>
      </c>
      <c r="C658" s="4" t="s">
        <v>77</v>
      </c>
      <c r="D658" s="35" t="s">
        <v>797</v>
      </c>
      <c r="E658" s="35" t="s">
        <v>79</v>
      </c>
      <c r="F658" s="8"/>
      <c r="G658" s="8"/>
      <c r="H658" s="8"/>
      <c r="I658" s="8"/>
    </row>
    <row r="659" spans="1:9" x14ac:dyDescent="0.25">
      <c r="A659" s="13" t="s">
        <v>11</v>
      </c>
      <c r="B659" s="4" t="s">
        <v>796</v>
      </c>
      <c r="C659" s="4" t="s">
        <v>77</v>
      </c>
      <c r="D659" s="16" t="s">
        <v>80</v>
      </c>
      <c r="E659" s="16" t="s">
        <v>81</v>
      </c>
      <c r="F659" s="8"/>
      <c r="G659" s="8"/>
      <c r="H659" s="8"/>
      <c r="I659" s="8"/>
    </row>
    <row r="660" spans="1:9" x14ac:dyDescent="0.25">
      <c r="A660" s="13" t="s">
        <v>11</v>
      </c>
      <c r="B660" s="4" t="s">
        <v>796</v>
      </c>
      <c r="C660" s="4" t="s">
        <v>77</v>
      </c>
      <c r="D660" s="16" t="s">
        <v>82</v>
      </c>
      <c r="E660" s="16" t="s">
        <v>79</v>
      </c>
      <c r="F660" s="16" t="s">
        <v>83</v>
      </c>
      <c r="G660" s="8"/>
      <c r="H660" s="8"/>
      <c r="I660" s="8"/>
    </row>
    <row r="661" spans="1:9" x14ac:dyDescent="0.25">
      <c r="A661" s="13" t="s">
        <v>11</v>
      </c>
      <c r="B661" s="4" t="s">
        <v>796</v>
      </c>
      <c r="C661" s="4" t="s">
        <v>77</v>
      </c>
      <c r="D661" s="16" t="s">
        <v>84</v>
      </c>
      <c r="E661" s="16" t="s">
        <v>81</v>
      </c>
      <c r="F661" s="16" t="s">
        <v>83</v>
      </c>
      <c r="G661" s="8"/>
      <c r="H661" s="8"/>
      <c r="I661" s="8"/>
    </row>
    <row r="662" spans="1:9" x14ac:dyDescent="0.25">
      <c r="A662" s="13" t="s">
        <v>11</v>
      </c>
      <c r="B662" s="4" t="s">
        <v>796</v>
      </c>
      <c r="C662" s="4" t="s">
        <v>77</v>
      </c>
      <c r="D662" s="16" t="s">
        <v>86</v>
      </c>
      <c r="E662" s="16" t="s">
        <v>87</v>
      </c>
      <c r="F662" s="16" t="s">
        <v>83</v>
      </c>
      <c r="G662" s="8"/>
      <c r="H662" s="8"/>
      <c r="I662" s="8"/>
    </row>
    <row r="663" spans="1:9" x14ac:dyDescent="0.25">
      <c r="A663" s="13" t="s">
        <v>11</v>
      </c>
      <c r="B663" s="4" t="s">
        <v>796</v>
      </c>
      <c r="C663" s="4" t="s">
        <v>77</v>
      </c>
      <c r="D663" s="16" t="s">
        <v>88</v>
      </c>
      <c r="E663" s="16" t="s">
        <v>88</v>
      </c>
      <c r="F663" s="16" t="s">
        <v>83</v>
      </c>
      <c r="G663" s="8"/>
      <c r="H663" s="8"/>
      <c r="I663" s="8"/>
    </row>
    <row r="664" spans="1:9" x14ac:dyDescent="0.25">
      <c r="A664" s="13" t="s">
        <v>11</v>
      </c>
      <c r="B664" s="4" t="s">
        <v>796</v>
      </c>
      <c r="C664" s="4" t="s">
        <v>77</v>
      </c>
      <c r="D664" s="16" t="s">
        <v>801</v>
      </c>
      <c r="E664" s="16" t="s">
        <v>801</v>
      </c>
      <c r="F664" s="8"/>
      <c r="G664" s="8"/>
      <c r="H664" s="8"/>
      <c r="I664" s="8"/>
    </row>
    <row r="665" spans="1:9" ht="30" x14ac:dyDescent="0.25">
      <c r="A665" s="13" t="s">
        <v>11</v>
      </c>
      <c r="B665" s="4" t="s">
        <v>796</v>
      </c>
      <c r="C665" s="4" t="s">
        <v>95</v>
      </c>
      <c r="D665" s="16" t="str">
        <f>I665&amp;".txt"</f>
        <v>rvtm-process-export.txt</v>
      </c>
      <c r="E665" s="47"/>
      <c r="F665" s="47"/>
      <c r="G665" s="16" t="s">
        <v>796</v>
      </c>
      <c r="H665" s="16" t="s">
        <v>798</v>
      </c>
      <c r="I665" s="16" t="s">
        <v>800</v>
      </c>
    </row>
    <row r="666" spans="1:9" ht="30" x14ac:dyDescent="0.25">
      <c r="A666" s="13" t="s">
        <v>11</v>
      </c>
      <c r="B666" s="4" t="s">
        <v>796</v>
      </c>
      <c r="C666" s="4" t="s">
        <v>96</v>
      </c>
      <c r="D666" s="16" t="str">
        <f>I666&amp;".txt"</f>
        <v>ratm-export.txt</v>
      </c>
      <c r="E666" s="16" t="s">
        <v>81</v>
      </c>
      <c r="F666" s="16" t="s">
        <v>83</v>
      </c>
      <c r="G666" s="16" t="s">
        <v>2</v>
      </c>
      <c r="H666" s="16" t="s">
        <v>59</v>
      </c>
      <c r="I666" s="16" t="s">
        <v>188</v>
      </c>
    </row>
    <row r="667" spans="1:9" x14ac:dyDescent="0.25">
      <c r="G667" s="8"/>
      <c r="H667" s="8"/>
      <c r="I667" s="8"/>
    </row>
    <row r="668" spans="1:9" x14ac:dyDescent="0.25">
      <c r="A668" s="8"/>
      <c r="B668" s="8"/>
      <c r="C668" s="8"/>
      <c r="D668" s="8"/>
      <c r="E668" s="8"/>
      <c r="F668" s="8"/>
      <c r="G668" s="8"/>
      <c r="H668" s="8"/>
      <c r="I668" s="8"/>
    </row>
    <row r="669" spans="1:9" x14ac:dyDescent="0.25">
      <c r="A669" s="4" t="s">
        <v>600</v>
      </c>
      <c r="B669" s="4" t="s">
        <v>353</v>
      </c>
      <c r="C669" s="4" t="s">
        <v>77</v>
      </c>
      <c r="D669" s="16" t="s">
        <v>84</v>
      </c>
      <c r="E669" s="16" t="s">
        <v>1468</v>
      </c>
      <c r="F669" s="3"/>
      <c r="G669" s="8"/>
      <c r="H669" s="8"/>
      <c r="I669" s="8"/>
    </row>
    <row r="670" spans="1:9" x14ac:dyDescent="0.25">
      <c r="A670" s="4" t="s">
        <v>600</v>
      </c>
      <c r="B670" s="4" t="s">
        <v>353</v>
      </c>
      <c r="C670" s="4" t="s">
        <v>77</v>
      </c>
      <c r="D670" s="16" t="s">
        <v>82</v>
      </c>
      <c r="E670" s="16" t="s">
        <v>79</v>
      </c>
      <c r="F670" s="3"/>
      <c r="G670" s="8"/>
      <c r="H670" s="8"/>
      <c r="I670" s="8"/>
    </row>
    <row r="671" spans="1:9" x14ac:dyDescent="0.25">
      <c r="A671" s="4" t="s">
        <v>600</v>
      </c>
      <c r="B671" s="4" t="s">
        <v>353</v>
      </c>
      <c r="C671" s="4" t="s">
        <v>77</v>
      </c>
      <c r="D671" s="16" t="s">
        <v>85</v>
      </c>
      <c r="E671" s="16" t="s">
        <v>85</v>
      </c>
      <c r="F671" s="3"/>
      <c r="G671" s="8"/>
      <c r="H671" s="8"/>
      <c r="I671" s="8"/>
    </row>
    <row r="672" spans="1:9" x14ac:dyDescent="0.25">
      <c r="A672" s="4" t="s">
        <v>600</v>
      </c>
      <c r="B672" s="4" t="s">
        <v>353</v>
      </c>
      <c r="C672" s="4" t="s">
        <v>77</v>
      </c>
      <c r="D672" s="16" t="s">
        <v>86</v>
      </c>
      <c r="E672" s="16" t="s">
        <v>87</v>
      </c>
      <c r="F672" s="3"/>
      <c r="G672" s="8"/>
      <c r="H672" s="8"/>
      <c r="I672" s="8"/>
    </row>
    <row r="673" spans="1:9" x14ac:dyDescent="0.25">
      <c r="A673" s="4" t="s">
        <v>600</v>
      </c>
      <c r="B673" s="4" t="s">
        <v>353</v>
      </c>
      <c r="C673" s="4" t="s">
        <v>77</v>
      </c>
      <c r="D673" s="16" t="s">
        <v>88</v>
      </c>
      <c r="E673" s="16" t="s">
        <v>88</v>
      </c>
      <c r="F673" s="3"/>
      <c r="G673" s="8"/>
      <c r="H673" s="8"/>
      <c r="I673" s="8"/>
    </row>
    <row r="674" spans="1:9" x14ac:dyDescent="0.25">
      <c r="A674" s="4" t="s">
        <v>600</v>
      </c>
      <c r="B674" s="4" t="s">
        <v>353</v>
      </c>
      <c r="C674" s="4" t="s">
        <v>77</v>
      </c>
      <c r="D674" s="16" t="s">
        <v>99</v>
      </c>
      <c r="E674" s="16" t="s">
        <v>99</v>
      </c>
      <c r="F674" s="3"/>
      <c r="G674" s="8"/>
      <c r="H674" s="8"/>
      <c r="I674" s="8"/>
    </row>
    <row r="675" spans="1:9" x14ac:dyDescent="0.25">
      <c r="A675" s="4" t="s">
        <v>600</v>
      </c>
      <c r="B675" s="4" t="s">
        <v>353</v>
      </c>
      <c r="C675" s="4" t="s">
        <v>77</v>
      </c>
      <c r="D675" s="16" t="s">
        <v>100</v>
      </c>
      <c r="E675" s="16" t="s">
        <v>101</v>
      </c>
      <c r="F675" s="3"/>
      <c r="G675" s="8"/>
      <c r="H675" s="8"/>
      <c r="I675" s="8"/>
    </row>
    <row r="676" spans="1:9" x14ac:dyDescent="0.25">
      <c r="A676" s="4" t="s">
        <v>600</v>
      </c>
      <c r="B676" s="4" t="s">
        <v>353</v>
      </c>
      <c r="C676" s="4" t="s">
        <v>77</v>
      </c>
      <c r="D676" s="16" t="s">
        <v>102</v>
      </c>
      <c r="E676" s="16" t="s">
        <v>102</v>
      </c>
      <c r="F676" s="3"/>
      <c r="G676" s="8"/>
      <c r="H676" s="8"/>
      <c r="I676" s="8"/>
    </row>
    <row r="677" spans="1:9" ht="30" x14ac:dyDescent="0.25">
      <c r="A677" s="4" t="s">
        <v>600</v>
      </c>
      <c r="B677" s="4" t="s">
        <v>353</v>
      </c>
      <c r="C677" s="4" t="s">
        <v>77</v>
      </c>
      <c r="D677" s="16" t="s">
        <v>354</v>
      </c>
      <c r="E677" s="16" t="s">
        <v>419</v>
      </c>
      <c r="F677" s="3"/>
      <c r="G677" s="8"/>
      <c r="H677" s="8"/>
      <c r="I677" s="8"/>
    </row>
    <row r="678" spans="1:9" x14ac:dyDescent="0.25">
      <c r="A678" s="4" t="s">
        <v>600</v>
      </c>
      <c r="B678" s="4" t="s">
        <v>353</v>
      </c>
      <c r="C678" s="4" t="s">
        <v>77</v>
      </c>
      <c r="D678" s="16" t="s">
        <v>107</v>
      </c>
      <c r="E678" s="16" t="s">
        <v>107</v>
      </c>
      <c r="F678" s="3"/>
      <c r="G678" s="8"/>
      <c r="H678" s="8"/>
      <c r="I678" s="8"/>
    </row>
    <row r="679" spans="1:9" x14ac:dyDescent="0.25">
      <c r="A679" s="4" t="s">
        <v>600</v>
      </c>
      <c r="B679" s="4" t="s">
        <v>353</v>
      </c>
      <c r="C679" s="4" t="s">
        <v>77</v>
      </c>
      <c r="D679" s="16" t="s">
        <v>428</v>
      </c>
      <c r="E679" s="16" t="s">
        <v>735</v>
      </c>
      <c r="F679" s="3"/>
      <c r="G679" s="8"/>
      <c r="H679" s="8"/>
      <c r="I679" s="8"/>
    </row>
    <row r="680" spans="1:9" x14ac:dyDescent="0.25">
      <c r="A680" s="4" t="s">
        <v>600</v>
      </c>
      <c r="B680" s="4" t="s">
        <v>353</v>
      </c>
      <c r="C680" s="4" t="s">
        <v>77</v>
      </c>
      <c r="D680" s="16" t="s">
        <v>356</v>
      </c>
      <c r="E680" s="16" t="s">
        <v>736</v>
      </c>
      <c r="F680" s="3"/>
      <c r="G680" s="8"/>
      <c r="H680" s="8"/>
      <c r="I680" s="8"/>
    </row>
    <row r="681" spans="1:9" x14ac:dyDescent="0.25">
      <c r="A681" s="4" t="s">
        <v>600</v>
      </c>
      <c r="B681" s="4" t="s">
        <v>353</v>
      </c>
      <c r="C681" s="4" t="s">
        <v>77</v>
      </c>
      <c r="D681" s="16" t="s">
        <v>357</v>
      </c>
      <c r="E681" s="16" t="s">
        <v>357</v>
      </c>
      <c r="F681" s="3"/>
      <c r="G681" s="8"/>
      <c r="H681" s="8"/>
      <c r="I681" s="8"/>
    </row>
    <row r="682" spans="1:9" x14ac:dyDescent="0.25">
      <c r="A682" s="4" t="s">
        <v>600</v>
      </c>
      <c r="B682" s="4" t="s">
        <v>353</v>
      </c>
      <c r="C682" s="4" t="s">
        <v>77</v>
      </c>
      <c r="D682" s="16" t="s">
        <v>358</v>
      </c>
      <c r="E682" s="16" t="s">
        <v>358</v>
      </c>
      <c r="F682" s="3"/>
      <c r="G682" s="8"/>
      <c r="H682" s="8"/>
      <c r="I682" s="8"/>
    </row>
    <row r="683" spans="1:9" x14ac:dyDescent="0.25">
      <c r="A683" s="4" t="s">
        <v>600</v>
      </c>
      <c r="B683" s="4" t="s">
        <v>353</v>
      </c>
      <c r="C683" s="4" t="s">
        <v>77</v>
      </c>
      <c r="D683" s="16" t="s">
        <v>359</v>
      </c>
      <c r="E683" s="16" t="s">
        <v>359</v>
      </c>
      <c r="F683" s="3"/>
      <c r="G683" s="8"/>
      <c r="H683" s="8"/>
      <c r="I683" s="8"/>
    </row>
    <row r="684" spans="1:9" x14ac:dyDescent="0.25">
      <c r="A684" s="4" t="s">
        <v>600</v>
      </c>
      <c r="B684" s="4" t="s">
        <v>353</v>
      </c>
      <c r="C684" s="4" t="s">
        <v>77</v>
      </c>
      <c r="D684" s="16" t="s">
        <v>360</v>
      </c>
      <c r="E684" s="16" t="s">
        <v>360</v>
      </c>
      <c r="F684" s="3"/>
      <c r="G684" s="8"/>
      <c r="H684" s="8"/>
      <c r="I684" s="8"/>
    </row>
    <row r="685" spans="1:9" x14ac:dyDescent="0.25">
      <c r="A685" s="4" t="s">
        <v>600</v>
      </c>
      <c r="B685" s="4" t="s">
        <v>353</v>
      </c>
      <c r="C685" s="4" t="s">
        <v>77</v>
      </c>
      <c r="D685" s="16" t="s">
        <v>361</v>
      </c>
      <c r="E685" s="16" t="s">
        <v>361</v>
      </c>
      <c r="F685" s="3"/>
      <c r="G685" s="8"/>
      <c r="H685" s="8"/>
      <c r="I685" s="8"/>
    </row>
    <row r="686" spans="1:9" x14ac:dyDescent="0.25">
      <c r="A686" s="4" t="s">
        <v>600</v>
      </c>
      <c r="B686" s="4" t="s">
        <v>353</v>
      </c>
      <c r="C686" s="4" t="s">
        <v>77</v>
      </c>
      <c r="D686" s="22" t="s">
        <v>729</v>
      </c>
      <c r="E686" s="22" t="s">
        <v>203</v>
      </c>
      <c r="F686" s="3"/>
      <c r="G686" s="8"/>
      <c r="H686" s="8"/>
      <c r="I686" s="8"/>
    </row>
    <row r="687" spans="1:9" x14ac:dyDescent="0.25">
      <c r="A687" s="4" t="s">
        <v>600</v>
      </c>
      <c r="B687" s="4" t="s">
        <v>353</v>
      </c>
      <c r="C687" s="4" t="s">
        <v>77</v>
      </c>
      <c r="D687" s="22" t="s">
        <v>730</v>
      </c>
      <c r="E687" s="22" t="s">
        <v>203</v>
      </c>
      <c r="F687" s="3"/>
      <c r="G687" s="8"/>
      <c r="H687" s="8"/>
      <c r="I687" s="8"/>
    </row>
    <row r="688" spans="1:9" x14ac:dyDescent="0.25">
      <c r="A688" s="4" t="s">
        <v>600</v>
      </c>
      <c r="B688" s="4" t="s">
        <v>353</v>
      </c>
      <c r="C688" s="4" t="s">
        <v>77</v>
      </c>
      <c r="D688" s="22" t="s">
        <v>731</v>
      </c>
      <c r="E688" s="22" t="s">
        <v>203</v>
      </c>
      <c r="F688" s="3"/>
      <c r="G688" s="8"/>
      <c r="H688" s="8"/>
      <c r="I688" s="8"/>
    </row>
    <row r="689" spans="1:10" x14ac:dyDescent="0.25">
      <c r="A689" s="4" t="s">
        <v>600</v>
      </c>
      <c r="B689" s="4" t="s">
        <v>353</v>
      </c>
      <c r="C689" s="4" t="s">
        <v>77</v>
      </c>
      <c r="D689" s="22" t="s">
        <v>732</v>
      </c>
      <c r="E689" s="22" t="s">
        <v>203</v>
      </c>
      <c r="F689" s="3"/>
      <c r="G689" s="8"/>
      <c r="H689" s="8"/>
      <c r="I689" s="8"/>
    </row>
    <row r="690" spans="1:10" x14ac:dyDescent="0.25">
      <c r="A690" s="4" t="s">
        <v>600</v>
      </c>
      <c r="B690" s="4" t="s">
        <v>353</v>
      </c>
      <c r="C690" s="4" t="s">
        <v>77</v>
      </c>
      <c r="D690" s="22" t="s">
        <v>733</v>
      </c>
      <c r="E690" s="22" t="s">
        <v>203</v>
      </c>
      <c r="F690" s="3"/>
      <c r="G690" s="8"/>
      <c r="H690" s="8"/>
      <c r="I690" s="8"/>
    </row>
    <row r="691" spans="1:10" x14ac:dyDescent="0.25">
      <c r="A691" s="4" t="s">
        <v>600</v>
      </c>
      <c r="B691" s="4" t="s">
        <v>353</v>
      </c>
      <c r="C691" s="4" t="s">
        <v>77</v>
      </c>
      <c r="D691" s="22" t="s">
        <v>878</v>
      </c>
      <c r="E691" s="22" t="s">
        <v>203</v>
      </c>
      <c r="F691" s="3"/>
      <c r="G691" s="8"/>
      <c r="H691" s="8"/>
      <c r="I691" s="8"/>
    </row>
    <row r="692" spans="1:10" x14ac:dyDescent="0.25">
      <c r="A692" s="4" t="s">
        <v>600</v>
      </c>
      <c r="B692" s="4" t="s">
        <v>353</v>
      </c>
      <c r="C692" s="4" t="s">
        <v>95</v>
      </c>
      <c r="D692" s="16" t="e">
        <f>I692&amp;".txt"</f>
        <v>#N/A</v>
      </c>
      <c r="E692" s="16" t="s">
        <v>81</v>
      </c>
      <c r="F692" s="3"/>
      <c r="G692" s="16" t="s">
        <v>29</v>
      </c>
      <c r="H692" s="16" t="s">
        <v>353</v>
      </c>
      <c r="I692" s="16" t="e">
        <f>VLOOKUP(A692&amp;G692&amp;H692,Views!$E$1:$F$155,2,FALSE)</f>
        <v>#N/A</v>
      </c>
    </row>
    <row r="693" spans="1:10" x14ac:dyDescent="0.25">
      <c r="A693" s="4"/>
      <c r="B693" s="4"/>
      <c r="C693" s="4"/>
      <c r="D693" s="16"/>
      <c r="E693" s="16"/>
      <c r="F693" s="3"/>
      <c r="G693" s="8"/>
      <c r="H693" s="8"/>
      <c r="I693" s="8"/>
    </row>
    <row r="694" spans="1:10" x14ac:dyDescent="0.25">
      <c r="A694" s="4" t="s">
        <v>600</v>
      </c>
      <c r="B694" s="4" t="s">
        <v>259</v>
      </c>
      <c r="C694" s="4" t="s">
        <v>77</v>
      </c>
      <c r="D694" s="22" t="s">
        <v>749</v>
      </c>
      <c r="E694" s="22" t="s">
        <v>203</v>
      </c>
      <c r="F694" s="3"/>
      <c r="G694" s="8"/>
      <c r="H694" s="8"/>
      <c r="I694" s="8"/>
    </row>
    <row r="695" spans="1:10" x14ac:dyDescent="0.25">
      <c r="A695" s="4" t="s">
        <v>600</v>
      </c>
      <c r="B695" s="4" t="s">
        <v>259</v>
      </c>
      <c r="C695" s="4" t="s">
        <v>77</v>
      </c>
      <c r="D695" s="22" t="s">
        <v>729</v>
      </c>
      <c r="E695" s="22" t="s">
        <v>203</v>
      </c>
      <c r="F695" s="3"/>
      <c r="G695" s="8"/>
      <c r="H695" s="8"/>
      <c r="I695" s="8"/>
    </row>
    <row r="696" spans="1:10" x14ac:dyDescent="0.25">
      <c r="A696" s="4" t="s">
        <v>600</v>
      </c>
      <c r="B696" s="4" t="s">
        <v>259</v>
      </c>
      <c r="C696" s="4" t="s">
        <v>77</v>
      </c>
      <c r="D696" s="22" t="s">
        <v>750</v>
      </c>
      <c r="E696" s="22" t="s">
        <v>203</v>
      </c>
      <c r="F696" s="3"/>
      <c r="G696" s="8"/>
      <c r="H696" s="8"/>
      <c r="I696" s="8"/>
    </row>
    <row r="697" spans="1:10" x14ac:dyDescent="0.25">
      <c r="A697" s="4" t="s">
        <v>600</v>
      </c>
      <c r="B697" s="4" t="s">
        <v>259</v>
      </c>
      <c r="C697" s="4" t="s">
        <v>77</v>
      </c>
      <c r="D697" s="22" t="s">
        <v>1031</v>
      </c>
      <c r="E697" s="22" t="s">
        <v>203</v>
      </c>
      <c r="F697" s="3"/>
      <c r="G697" s="8"/>
      <c r="H697" s="8"/>
      <c r="I697" s="8"/>
    </row>
    <row r="698" spans="1:10" x14ac:dyDescent="0.25">
      <c r="A698" s="4" t="s">
        <v>600</v>
      </c>
      <c r="B698" s="4" t="s">
        <v>259</v>
      </c>
      <c r="C698" s="4" t="s">
        <v>77</v>
      </c>
      <c r="D698" s="22" t="s">
        <v>1032</v>
      </c>
      <c r="E698" s="22"/>
      <c r="F698" s="3"/>
      <c r="G698" s="8"/>
      <c r="H698" s="8"/>
      <c r="I698" s="8"/>
    </row>
    <row r="699" spans="1:10" x14ac:dyDescent="0.25">
      <c r="A699" s="4" t="s">
        <v>600</v>
      </c>
      <c r="B699" s="4" t="s">
        <v>259</v>
      </c>
      <c r="C699" s="4" t="s">
        <v>77</v>
      </c>
      <c r="D699" s="22" t="s">
        <v>751</v>
      </c>
      <c r="E699" s="22" t="s">
        <v>203</v>
      </c>
      <c r="F699" s="3"/>
      <c r="G699" s="8"/>
      <c r="H699" s="8"/>
      <c r="I699" s="8"/>
    </row>
    <row r="700" spans="1:10" x14ac:dyDescent="0.25">
      <c r="A700" s="4" t="s">
        <v>600</v>
      </c>
      <c r="B700" s="4" t="s">
        <v>259</v>
      </c>
      <c r="C700" s="4" t="s">
        <v>77</v>
      </c>
      <c r="D700" s="22" t="s">
        <v>752</v>
      </c>
      <c r="E700" s="22" t="s">
        <v>203</v>
      </c>
      <c r="F700" s="3"/>
      <c r="G700" s="8"/>
      <c r="H700" s="8"/>
      <c r="I700" s="8"/>
      <c r="J700" s="8"/>
    </row>
    <row r="701" spans="1:10" x14ac:dyDescent="0.25">
      <c r="A701" s="4" t="s">
        <v>600</v>
      </c>
      <c r="B701" s="4" t="s">
        <v>259</v>
      </c>
      <c r="C701" s="4" t="s">
        <v>77</v>
      </c>
      <c r="D701" s="22" t="s">
        <v>733</v>
      </c>
      <c r="E701" s="22" t="s">
        <v>203</v>
      </c>
      <c r="F701" s="3"/>
      <c r="G701" s="8"/>
      <c r="H701" s="8"/>
      <c r="I701" s="8"/>
    </row>
    <row r="702" spans="1:10" x14ac:dyDescent="0.25">
      <c r="A702" s="4" t="s">
        <v>600</v>
      </c>
      <c r="B702" s="4" t="s">
        <v>259</v>
      </c>
      <c r="C702" s="4" t="s">
        <v>77</v>
      </c>
      <c r="D702" s="22" t="s">
        <v>1033</v>
      </c>
      <c r="E702" s="22" t="s">
        <v>203</v>
      </c>
      <c r="F702" s="3"/>
      <c r="G702" s="8"/>
      <c r="H702" s="8"/>
      <c r="I702" s="8"/>
    </row>
    <row r="703" spans="1:10" x14ac:dyDescent="0.25">
      <c r="A703" s="4" t="s">
        <v>600</v>
      </c>
      <c r="B703" s="4" t="s">
        <v>259</v>
      </c>
      <c r="C703" s="4" t="s">
        <v>77</v>
      </c>
      <c r="D703" s="22" t="s">
        <v>753</v>
      </c>
      <c r="E703" s="22" t="s">
        <v>203</v>
      </c>
      <c r="F703" s="3"/>
      <c r="G703" s="8"/>
      <c r="H703" s="8"/>
      <c r="I703" s="8"/>
      <c r="J703" s="8"/>
    </row>
    <row r="704" spans="1:10" x14ac:dyDescent="0.25">
      <c r="A704" s="4" t="s">
        <v>600</v>
      </c>
      <c r="B704" s="4" t="s">
        <v>259</v>
      </c>
      <c r="C704" s="4" t="s">
        <v>77</v>
      </c>
      <c r="D704" s="22" t="s">
        <v>754</v>
      </c>
      <c r="E704" s="22" t="s">
        <v>203</v>
      </c>
      <c r="F704" s="3"/>
      <c r="G704" s="8"/>
      <c r="H704" s="8"/>
      <c r="I704" s="8"/>
    </row>
    <row r="705" spans="1:9" x14ac:dyDescent="0.25">
      <c r="A705" s="4" t="s">
        <v>600</v>
      </c>
      <c r="B705" s="4" t="s">
        <v>259</v>
      </c>
      <c r="C705" s="4" t="s">
        <v>77</v>
      </c>
      <c r="D705" s="22" t="s">
        <v>878</v>
      </c>
      <c r="E705" s="22" t="s">
        <v>203</v>
      </c>
      <c r="F705" s="3"/>
      <c r="G705" s="8"/>
      <c r="H705" s="8"/>
      <c r="I705" s="8"/>
    </row>
    <row r="706" spans="1:9" x14ac:dyDescent="0.25">
      <c r="A706" s="4" t="s">
        <v>600</v>
      </c>
      <c r="B706" s="4" t="s">
        <v>259</v>
      </c>
      <c r="C706" s="4" t="s">
        <v>77</v>
      </c>
      <c r="D706" s="22" t="s">
        <v>946</v>
      </c>
      <c r="E706" s="22" t="s">
        <v>203</v>
      </c>
      <c r="F706" s="3"/>
      <c r="G706" s="8"/>
      <c r="H706" s="8"/>
      <c r="I706" s="8"/>
    </row>
    <row r="707" spans="1:9" x14ac:dyDescent="0.25">
      <c r="A707" s="4" t="s">
        <v>600</v>
      </c>
      <c r="B707" s="4" t="s">
        <v>259</v>
      </c>
      <c r="C707" s="4" t="s">
        <v>77</v>
      </c>
      <c r="D707" s="16" t="s">
        <v>477</v>
      </c>
      <c r="E707" s="16" t="s">
        <v>477</v>
      </c>
      <c r="F707" s="3"/>
      <c r="G707" s="8"/>
      <c r="H707" s="8"/>
      <c r="I707" s="8"/>
    </row>
    <row r="708" spans="1:9" x14ac:dyDescent="0.25">
      <c r="A708" s="4" t="s">
        <v>600</v>
      </c>
      <c r="B708" s="4" t="s">
        <v>259</v>
      </c>
      <c r="C708" s="4" t="s">
        <v>77</v>
      </c>
      <c r="D708" s="16" t="s">
        <v>84</v>
      </c>
      <c r="E708" s="16" t="s">
        <v>81</v>
      </c>
      <c r="F708" s="3"/>
      <c r="G708" s="8"/>
      <c r="H708" s="8"/>
      <c r="I708" s="8"/>
    </row>
    <row r="709" spans="1:9" x14ac:dyDescent="0.25">
      <c r="A709" s="4" t="s">
        <v>600</v>
      </c>
      <c r="B709" s="4" t="s">
        <v>259</v>
      </c>
      <c r="C709" s="4" t="s">
        <v>77</v>
      </c>
      <c r="D709" s="16" t="s">
        <v>82</v>
      </c>
      <c r="E709" s="16" t="s">
        <v>79</v>
      </c>
      <c r="F709" s="3"/>
      <c r="G709" s="8"/>
      <c r="H709" s="8"/>
      <c r="I709" s="8"/>
    </row>
    <row r="710" spans="1:9" x14ac:dyDescent="0.25">
      <c r="A710" s="4" t="s">
        <v>600</v>
      </c>
      <c r="B710" s="4" t="s">
        <v>259</v>
      </c>
      <c r="C710" s="4" t="s">
        <v>77</v>
      </c>
      <c r="D710" s="16" t="s">
        <v>85</v>
      </c>
      <c r="E710" s="16" t="s">
        <v>85</v>
      </c>
      <c r="F710" s="3"/>
      <c r="G710" s="8"/>
      <c r="H710" s="8"/>
      <c r="I710" s="8"/>
    </row>
    <row r="711" spans="1:9" x14ac:dyDescent="0.25">
      <c r="A711" s="4" t="s">
        <v>600</v>
      </c>
      <c r="B711" s="4" t="s">
        <v>259</v>
      </c>
      <c r="C711" s="4" t="s">
        <v>77</v>
      </c>
      <c r="D711" s="16" t="s">
        <v>86</v>
      </c>
      <c r="E711" s="16" t="s">
        <v>87</v>
      </c>
      <c r="F711" s="3"/>
      <c r="G711" s="8"/>
      <c r="H711" s="8"/>
      <c r="I711" s="8"/>
    </row>
    <row r="712" spans="1:9" x14ac:dyDescent="0.25">
      <c r="A712" s="4" t="s">
        <v>600</v>
      </c>
      <c r="B712" s="4" t="s">
        <v>259</v>
      </c>
      <c r="C712" s="4" t="s">
        <v>77</v>
      </c>
      <c r="D712" s="16" t="s">
        <v>88</v>
      </c>
      <c r="E712" s="16" t="s">
        <v>88</v>
      </c>
      <c r="F712" s="3"/>
      <c r="G712" s="8"/>
      <c r="H712" s="8"/>
      <c r="I712" s="8"/>
    </row>
    <row r="713" spans="1:9" x14ac:dyDescent="0.25">
      <c r="A713" s="4" t="s">
        <v>600</v>
      </c>
      <c r="B713" s="4" t="s">
        <v>259</v>
      </c>
      <c r="C713" s="4" t="s">
        <v>77</v>
      </c>
      <c r="D713" s="16" t="s">
        <v>97</v>
      </c>
      <c r="E713" s="16" t="s">
        <v>98</v>
      </c>
      <c r="F713" s="3"/>
      <c r="G713" s="8"/>
      <c r="H713" s="8"/>
      <c r="I713" s="8"/>
    </row>
    <row r="714" spans="1:9" x14ac:dyDescent="0.25">
      <c r="A714" s="4" t="s">
        <v>600</v>
      </c>
      <c r="B714" s="4" t="s">
        <v>259</v>
      </c>
      <c r="C714" s="4" t="s">
        <v>77</v>
      </c>
      <c r="D714" s="16" t="s">
        <v>99</v>
      </c>
      <c r="E714" s="16" t="s">
        <v>99</v>
      </c>
      <c r="F714" s="3"/>
      <c r="G714" s="8"/>
      <c r="H714" s="8"/>
      <c r="I714" s="8"/>
    </row>
    <row r="715" spans="1:9" x14ac:dyDescent="0.25">
      <c r="A715" s="4" t="s">
        <v>600</v>
      </c>
      <c r="B715" s="4" t="s">
        <v>259</v>
      </c>
      <c r="C715" s="4" t="s">
        <v>77</v>
      </c>
      <c r="D715" s="16" t="s">
        <v>100</v>
      </c>
      <c r="E715" s="16" t="s">
        <v>101</v>
      </c>
      <c r="F715" s="3"/>
      <c r="G715" s="8"/>
      <c r="H715" s="8"/>
      <c r="I715" s="8"/>
    </row>
    <row r="716" spans="1:9" x14ac:dyDescent="0.25">
      <c r="A716" s="4" t="s">
        <v>600</v>
      </c>
      <c r="B716" s="4" t="s">
        <v>259</v>
      </c>
      <c r="C716" s="4" t="s">
        <v>77</v>
      </c>
      <c r="D716" s="16" t="s">
        <v>102</v>
      </c>
      <c r="E716" s="16" t="s">
        <v>102</v>
      </c>
      <c r="F716" s="3"/>
      <c r="G716" s="8"/>
      <c r="H716" s="8"/>
      <c r="I716" s="8"/>
    </row>
    <row r="717" spans="1:9" x14ac:dyDescent="0.25">
      <c r="A717" s="4" t="s">
        <v>600</v>
      </c>
      <c r="B717" s="4" t="s">
        <v>259</v>
      </c>
      <c r="C717" s="4" t="s">
        <v>77</v>
      </c>
      <c r="D717" s="16" t="s">
        <v>25</v>
      </c>
      <c r="E717" s="16" t="s">
        <v>333</v>
      </c>
      <c r="F717" s="3"/>
      <c r="G717" s="8"/>
      <c r="H717" s="8"/>
      <c r="I717" s="8"/>
    </row>
    <row r="718" spans="1:9" x14ac:dyDescent="0.25">
      <c r="A718" s="4" t="s">
        <v>600</v>
      </c>
      <c r="B718" s="4" t="s">
        <v>259</v>
      </c>
      <c r="C718" s="4" t="s">
        <v>77</v>
      </c>
      <c r="D718" s="16" t="s">
        <v>78</v>
      </c>
      <c r="E718" s="16" t="s">
        <v>79</v>
      </c>
      <c r="F718" s="16" t="s">
        <v>104</v>
      </c>
      <c r="G718" s="8"/>
      <c r="H718" s="8"/>
      <c r="I718" s="8"/>
    </row>
    <row r="719" spans="1:9" x14ac:dyDescent="0.25">
      <c r="A719" s="4" t="s">
        <v>600</v>
      </c>
      <c r="B719" s="4" t="s">
        <v>259</v>
      </c>
      <c r="C719" s="4" t="s">
        <v>77</v>
      </c>
      <c r="D719" s="16" t="s">
        <v>89</v>
      </c>
      <c r="E719" s="16" t="s">
        <v>991</v>
      </c>
      <c r="F719" s="16" t="s">
        <v>104</v>
      </c>
      <c r="G719" s="8"/>
      <c r="H719" s="8"/>
      <c r="I719" s="8"/>
    </row>
    <row r="720" spans="1:9" x14ac:dyDescent="0.25">
      <c r="A720" s="4" t="s">
        <v>600</v>
      </c>
      <c r="B720" s="4" t="s">
        <v>259</v>
      </c>
      <c r="C720" s="4" t="s">
        <v>77</v>
      </c>
      <c r="D720" s="16" t="s">
        <v>90</v>
      </c>
      <c r="E720" s="16" t="s">
        <v>992</v>
      </c>
      <c r="F720" s="16" t="s">
        <v>104</v>
      </c>
      <c r="G720" s="8"/>
      <c r="H720" s="8"/>
      <c r="I720" s="8"/>
    </row>
    <row r="721" spans="1:9" x14ac:dyDescent="0.25">
      <c r="A721" s="4" t="s">
        <v>600</v>
      </c>
      <c r="B721" s="4" t="s">
        <v>259</v>
      </c>
      <c r="C721" s="4" t="s">
        <v>77</v>
      </c>
      <c r="D721" s="16" t="s">
        <v>93</v>
      </c>
      <c r="E721" s="16" t="s">
        <v>993</v>
      </c>
      <c r="F721" s="16" t="s">
        <v>104</v>
      </c>
      <c r="G721" s="8"/>
      <c r="H721" s="8"/>
      <c r="I721" s="8"/>
    </row>
    <row r="722" spans="1:9" x14ac:dyDescent="0.25">
      <c r="A722" s="4" t="s">
        <v>600</v>
      </c>
      <c r="B722" s="4" t="s">
        <v>259</v>
      </c>
      <c r="C722" s="4" t="s">
        <v>77</v>
      </c>
      <c r="D722" s="16" t="s">
        <v>94</v>
      </c>
      <c r="E722" s="16" t="s">
        <v>1034</v>
      </c>
      <c r="F722" s="16" t="s">
        <v>104</v>
      </c>
      <c r="G722" s="8"/>
      <c r="H722" s="8"/>
      <c r="I722" s="8"/>
    </row>
    <row r="723" spans="1:9" x14ac:dyDescent="0.25">
      <c r="A723" s="4" t="s">
        <v>600</v>
      </c>
      <c r="B723" s="4" t="s">
        <v>259</v>
      </c>
      <c r="C723" s="4" t="s">
        <v>77</v>
      </c>
      <c r="D723" s="16" t="s">
        <v>912</v>
      </c>
      <c r="E723" s="16" t="s">
        <v>79</v>
      </c>
      <c r="F723" s="16" t="s">
        <v>1315</v>
      </c>
      <c r="G723" s="8"/>
      <c r="H723" s="8"/>
      <c r="I723" s="8"/>
    </row>
    <row r="724" spans="1:9" x14ac:dyDescent="0.25">
      <c r="A724" s="4" t="s">
        <v>600</v>
      </c>
      <c r="B724" s="4" t="s">
        <v>259</v>
      </c>
      <c r="C724" s="4" t="s">
        <v>77</v>
      </c>
      <c r="D724" s="16" t="s">
        <v>913</v>
      </c>
      <c r="E724" s="16" t="s">
        <v>915</v>
      </c>
      <c r="F724" s="16" t="s">
        <v>1315</v>
      </c>
      <c r="G724" s="8"/>
      <c r="H724" s="8"/>
      <c r="I724" s="8"/>
    </row>
    <row r="725" spans="1:9" x14ac:dyDescent="0.25">
      <c r="A725" s="4" t="s">
        <v>600</v>
      </c>
      <c r="B725" s="4" t="s">
        <v>259</v>
      </c>
      <c r="C725" s="4" t="s">
        <v>77</v>
      </c>
      <c r="D725" s="16" t="s">
        <v>914</v>
      </c>
      <c r="E725" s="16" t="s">
        <v>914</v>
      </c>
      <c r="F725" s="16" t="s">
        <v>1315</v>
      </c>
      <c r="G725" s="8"/>
      <c r="H725" s="8"/>
      <c r="I725" s="8"/>
    </row>
    <row r="726" spans="1:9" x14ac:dyDescent="0.25">
      <c r="A726" s="4" t="s">
        <v>600</v>
      </c>
      <c r="B726" s="4" t="s">
        <v>259</v>
      </c>
      <c r="C726" s="4" t="s">
        <v>77</v>
      </c>
      <c r="D726" s="16" t="s">
        <v>801</v>
      </c>
      <c r="E726" s="16" t="s">
        <v>1035</v>
      </c>
      <c r="F726" s="16" t="s">
        <v>1315</v>
      </c>
      <c r="G726" s="8"/>
      <c r="H726" s="8"/>
      <c r="I726" s="8"/>
    </row>
    <row r="727" spans="1:9" x14ac:dyDescent="0.25">
      <c r="A727" s="4" t="s">
        <v>600</v>
      </c>
      <c r="B727" s="4" t="s">
        <v>259</v>
      </c>
      <c r="C727" s="4" t="s">
        <v>77</v>
      </c>
      <c r="D727" s="16" t="s">
        <v>105</v>
      </c>
      <c r="E727" s="16" t="s">
        <v>105</v>
      </c>
      <c r="F727" s="3"/>
      <c r="G727" s="8"/>
      <c r="H727" s="8"/>
      <c r="I727" s="8"/>
    </row>
    <row r="728" spans="1:9" ht="30" x14ac:dyDescent="0.25">
      <c r="A728" s="4" t="s">
        <v>600</v>
      </c>
      <c r="B728" s="4" t="s">
        <v>259</v>
      </c>
      <c r="C728" s="4" t="s">
        <v>95</v>
      </c>
      <c r="D728" s="16" t="str">
        <f>I728&amp;".txt"</f>
        <v>General Requirements View.txt</v>
      </c>
      <c r="E728" s="16" t="s">
        <v>81</v>
      </c>
      <c r="F728" s="3"/>
      <c r="G728" s="16" t="s">
        <v>259</v>
      </c>
      <c r="H728" s="16" t="s">
        <v>59</v>
      </c>
      <c r="I728" s="16" t="str">
        <f>VLOOKUP(A728&amp;G728&amp;H728,Views!$E$1:$F$155,2,FALSE)</f>
        <v>General Requirements View</v>
      </c>
    </row>
    <row r="729" spans="1:9" ht="30" x14ac:dyDescent="0.25">
      <c r="A729" s="4" t="s">
        <v>600</v>
      </c>
      <c r="B729" s="4" t="s">
        <v>259</v>
      </c>
      <c r="C729" s="4" t="s">
        <v>96</v>
      </c>
      <c r="D729" s="16" t="str">
        <f>I729&amp;".txt"</f>
        <v>01 Verification-Design.txt</v>
      </c>
      <c r="E729" s="16" t="s">
        <v>81</v>
      </c>
      <c r="F729" s="16" t="s">
        <v>104</v>
      </c>
      <c r="G729" s="16" t="s">
        <v>1189</v>
      </c>
      <c r="H729" s="16" t="s">
        <v>60</v>
      </c>
      <c r="I729" s="16" t="str">
        <f>VLOOKUP(A729&amp;G729&amp;H729,Views!$E$1:$F$155,2,FALSE)</f>
        <v>01 Verification-Design</v>
      </c>
    </row>
    <row r="730" spans="1:9" ht="30" x14ac:dyDescent="0.25">
      <c r="A730" s="4" t="s">
        <v>600</v>
      </c>
      <c r="B730" s="4" t="s">
        <v>259</v>
      </c>
      <c r="C730" s="4" t="s">
        <v>96</v>
      </c>
      <c r="D730" s="16" t="str">
        <f>I730&amp;".txt"</f>
        <v>Verification-Process.txt</v>
      </c>
      <c r="E730" s="16" t="s">
        <v>81</v>
      </c>
      <c r="F730" s="16" t="s">
        <v>1315</v>
      </c>
      <c r="G730" s="16" t="s">
        <v>1375</v>
      </c>
      <c r="H730" s="16" t="s">
        <v>798</v>
      </c>
      <c r="I730" s="16" t="str">
        <f>VLOOKUP(A730&amp;G730&amp;H730,Views!$E$1:$F$155,2,FALSE)</f>
        <v>Verification-Process</v>
      </c>
    </row>
    <row r="731" spans="1:9" x14ac:dyDescent="0.25">
      <c r="G731" s="8"/>
      <c r="H731" s="8"/>
      <c r="I731" s="8"/>
    </row>
    <row r="732" spans="1:9" x14ac:dyDescent="0.25">
      <c r="A732" s="4" t="s">
        <v>600</v>
      </c>
      <c r="B732" s="4" t="s">
        <v>1051</v>
      </c>
      <c r="C732" s="4" t="s">
        <v>77</v>
      </c>
      <c r="D732" s="22" t="s">
        <v>997</v>
      </c>
      <c r="E732" s="22" t="s">
        <v>203</v>
      </c>
      <c r="G732" s="8"/>
      <c r="H732" s="8"/>
      <c r="I732" s="8"/>
    </row>
    <row r="733" spans="1:9" x14ac:dyDescent="0.25">
      <c r="A733" s="4" t="s">
        <v>600</v>
      </c>
      <c r="B733" s="4" t="s">
        <v>1051</v>
      </c>
      <c r="C733" s="4" t="s">
        <v>77</v>
      </c>
      <c r="D733" s="22" t="s">
        <v>905</v>
      </c>
      <c r="E733" s="22" t="s">
        <v>203</v>
      </c>
      <c r="G733" s="8"/>
      <c r="H733" s="8"/>
      <c r="I733" s="8"/>
    </row>
    <row r="734" spans="1:9" x14ac:dyDescent="0.25">
      <c r="A734" s="4" t="s">
        <v>600</v>
      </c>
      <c r="B734" s="4" t="s">
        <v>1051</v>
      </c>
      <c r="C734" s="4" t="s">
        <v>77</v>
      </c>
      <c r="D734" s="22" t="s">
        <v>998</v>
      </c>
      <c r="E734" s="22" t="s">
        <v>203</v>
      </c>
      <c r="G734" s="8"/>
      <c r="H734" s="8"/>
      <c r="I734" s="8"/>
    </row>
    <row r="735" spans="1:9" x14ac:dyDescent="0.25">
      <c r="A735" s="4" t="s">
        <v>600</v>
      </c>
      <c r="B735" s="4" t="s">
        <v>1051</v>
      </c>
      <c r="C735" s="4" t="s">
        <v>77</v>
      </c>
      <c r="D735" s="22" t="s">
        <v>906</v>
      </c>
      <c r="E735" s="22" t="s">
        <v>203</v>
      </c>
      <c r="G735" s="8"/>
      <c r="H735" s="8"/>
      <c r="I735" s="8"/>
    </row>
    <row r="736" spans="1:9" x14ac:dyDescent="0.25">
      <c r="A736" s="4" t="s">
        <v>600</v>
      </c>
      <c r="B736" s="4" t="s">
        <v>1051</v>
      </c>
      <c r="C736" s="4" t="s">
        <v>77</v>
      </c>
      <c r="D736" s="22" t="s">
        <v>907</v>
      </c>
      <c r="E736" s="22" t="s">
        <v>203</v>
      </c>
      <c r="G736" s="8"/>
      <c r="H736" s="8"/>
      <c r="I736" s="8"/>
    </row>
    <row r="737" spans="1:10" x14ac:dyDescent="0.25">
      <c r="A737" s="4" t="s">
        <v>600</v>
      </c>
      <c r="B737" s="4" t="s">
        <v>1051</v>
      </c>
      <c r="C737" s="4" t="s">
        <v>77</v>
      </c>
      <c r="D737" s="22" t="s">
        <v>999</v>
      </c>
      <c r="E737" s="22" t="s">
        <v>203</v>
      </c>
      <c r="G737" s="8"/>
      <c r="H737" s="8"/>
      <c r="I737" s="8"/>
    </row>
    <row r="738" spans="1:10" x14ac:dyDescent="0.25">
      <c r="A738" s="4" t="s">
        <v>600</v>
      </c>
      <c r="B738" s="4" t="s">
        <v>1051</v>
      </c>
      <c r="C738" s="4" t="s">
        <v>77</v>
      </c>
      <c r="D738" s="22" t="s">
        <v>908</v>
      </c>
      <c r="E738" s="22" t="s">
        <v>203</v>
      </c>
      <c r="G738" s="8"/>
      <c r="H738" s="8"/>
      <c r="I738" s="8"/>
    </row>
    <row r="739" spans="1:10" x14ac:dyDescent="0.25">
      <c r="A739" s="4" t="s">
        <v>600</v>
      </c>
      <c r="B739" s="4" t="s">
        <v>1051</v>
      </c>
      <c r="C739" s="4" t="s">
        <v>77</v>
      </c>
      <c r="D739" s="22" t="s">
        <v>1000</v>
      </c>
      <c r="E739" s="22" t="s">
        <v>203</v>
      </c>
      <c r="G739" s="8"/>
      <c r="H739" s="8"/>
      <c r="I739" s="8"/>
    </row>
    <row r="740" spans="1:10" x14ac:dyDescent="0.25">
      <c r="A740" s="4" t="s">
        <v>600</v>
      </c>
      <c r="B740" s="4" t="s">
        <v>1051</v>
      </c>
      <c r="C740" s="4" t="s">
        <v>77</v>
      </c>
      <c r="D740" s="22" t="s">
        <v>900</v>
      </c>
      <c r="E740" s="22" t="s">
        <v>203</v>
      </c>
      <c r="G740" s="8"/>
      <c r="H740" s="8"/>
      <c r="I740" s="8"/>
    </row>
    <row r="741" spans="1:10" x14ac:dyDescent="0.25">
      <c r="A741" s="4" t="s">
        <v>600</v>
      </c>
      <c r="B741" s="4" t="s">
        <v>1051</v>
      </c>
      <c r="C741" s="4" t="s">
        <v>77</v>
      </c>
      <c r="D741" s="22" t="s">
        <v>1001</v>
      </c>
      <c r="E741" s="22" t="s">
        <v>203</v>
      </c>
      <c r="G741" s="8"/>
      <c r="H741" s="8"/>
      <c r="I741" s="8"/>
    </row>
    <row r="742" spans="1:10" x14ac:dyDescent="0.25">
      <c r="A742" s="4" t="s">
        <v>600</v>
      </c>
      <c r="B742" s="4" t="s">
        <v>1051</v>
      </c>
      <c r="C742" s="4" t="s">
        <v>77</v>
      </c>
      <c r="D742" s="22" t="s">
        <v>1002</v>
      </c>
      <c r="E742" s="22" t="s">
        <v>203</v>
      </c>
      <c r="G742" s="8"/>
      <c r="H742" s="8"/>
      <c r="I742" s="8"/>
    </row>
    <row r="743" spans="1:10" x14ac:dyDescent="0.25">
      <c r="A743" s="4" t="s">
        <v>600</v>
      </c>
      <c r="B743" s="4" t="s">
        <v>1051</v>
      </c>
      <c r="C743" s="4" t="s">
        <v>77</v>
      </c>
      <c r="D743" s="16" t="s">
        <v>78</v>
      </c>
      <c r="E743" s="16" t="s">
        <v>79</v>
      </c>
      <c r="G743" s="8"/>
      <c r="H743" s="8"/>
      <c r="I743" s="8"/>
    </row>
    <row r="744" spans="1:10" x14ac:dyDescent="0.25">
      <c r="A744" s="4" t="s">
        <v>600</v>
      </c>
      <c r="B744" s="4" t="s">
        <v>1051</v>
      </c>
      <c r="C744" s="4" t="s">
        <v>77</v>
      </c>
      <c r="D744" s="16" t="s">
        <v>477</v>
      </c>
      <c r="E744" s="16" t="s">
        <v>477</v>
      </c>
      <c r="G744" s="8"/>
      <c r="H744" s="8"/>
      <c r="I744" s="8"/>
    </row>
    <row r="745" spans="1:10" x14ac:dyDescent="0.25">
      <c r="A745" s="4" t="s">
        <v>600</v>
      </c>
      <c r="B745" s="4" t="s">
        <v>1051</v>
      </c>
      <c r="C745" s="4" t="s">
        <v>77</v>
      </c>
      <c r="D745" s="16" t="s">
        <v>80</v>
      </c>
      <c r="E745" s="16" t="s">
        <v>81</v>
      </c>
      <c r="G745" s="8"/>
      <c r="H745" s="8"/>
      <c r="I745" s="8"/>
    </row>
    <row r="746" spans="1:10" x14ac:dyDescent="0.25">
      <c r="A746" s="4" t="s">
        <v>600</v>
      </c>
      <c r="B746" s="4" t="s">
        <v>1051</v>
      </c>
      <c r="C746" s="4" t="s">
        <v>77</v>
      </c>
      <c r="D746" s="16" t="s">
        <v>82</v>
      </c>
      <c r="E746" s="16" t="s">
        <v>79</v>
      </c>
      <c r="F746" s="16" t="s">
        <v>83</v>
      </c>
      <c r="G746" s="8"/>
      <c r="H746" s="8"/>
      <c r="I746" s="8"/>
    </row>
    <row r="747" spans="1:10" x14ac:dyDescent="0.25">
      <c r="A747" s="4" t="s">
        <v>600</v>
      </c>
      <c r="B747" s="4" t="s">
        <v>1051</v>
      </c>
      <c r="C747" s="4" t="s">
        <v>77</v>
      </c>
      <c r="D747" s="16" t="s">
        <v>84</v>
      </c>
      <c r="E747" s="16" t="s">
        <v>81</v>
      </c>
      <c r="F747" s="16" t="s">
        <v>83</v>
      </c>
      <c r="G747" s="8"/>
      <c r="H747" s="8"/>
      <c r="I747" s="8"/>
    </row>
    <row r="748" spans="1:10" x14ac:dyDescent="0.25">
      <c r="A748" s="4" t="s">
        <v>600</v>
      </c>
      <c r="B748" s="4" t="s">
        <v>1051</v>
      </c>
      <c r="C748" s="4" t="s">
        <v>77</v>
      </c>
      <c r="D748" s="16" t="s">
        <v>85</v>
      </c>
      <c r="E748" s="16" t="s">
        <v>85</v>
      </c>
      <c r="F748" s="16" t="s">
        <v>83</v>
      </c>
      <c r="G748" s="8"/>
      <c r="H748" s="8"/>
      <c r="I748" s="8"/>
    </row>
    <row r="749" spans="1:10" x14ac:dyDescent="0.25">
      <c r="A749" s="4" t="s">
        <v>600</v>
      </c>
      <c r="B749" s="4" t="s">
        <v>1051</v>
      </c>
      <c r="C749" s="4" t="s">
        <v>77</v>
      </c>
      <c r="D749" s="16" t="s">
        <v>994</v>
      </c>
      <c r="E749" s="16" t="s">
        <v>1462</v>
      </c>
      <c r="F749" s="16" t="s">
        <v>83</v>
      </c>
      <c r="G749" s="8"/>
      <c r="H749" s="8"/>
      <c r="I749" s="8"/>
      <c r="J749" t="b">
        <v>1</v>
      </c>
    </row>
    <row r="750" spans="1:10" x14ac:dyDescent="0.25">
      <c r="A750" s="4" t="s">
        <v>600</v>
      </c>
      <c r="B750" s="4" t="s">
        <v>1051</v>
      </c>
      <c r="C750" s="4" t="s">
        <v>77</v>
      </c>
      <c r="D750" s="16" t="s">
        <v>86</v>
      </c>
      <c r="E750" s="16" t="s">
        <v>87</v>
      </c>
      <c r="F750" s="16" t="s">
        <v>83</v>
      </c>
      <c r="G750" s="8"/>
      <c r="H750" s="8"/>
      <c r="I750" s="8"/>
    </row>
    <row r="751" spans="1:10" x14ac:dyDescent="0.25">
      <c r="A751" s="4" t="s">
        <v>600</v>
      </c>
      <c r="B751" s="4" t="s">
        <v>1051</v>
      </c>
      <c r="C751" s="4" t="s">
        <v>77</v>
      </c>
      <c r="D751" s="16" t="s">
        <v>88</v>
      </c>
      <c r="E751" s="16" t="s">
        <v>88</v>
      </c>
      <c r="F751" s="16" t="s">
        <v>83</v>
      </c>
      <c r="G751" s="8"/>
      <c r="H751" s="8"/>
      <c r="I751" s="8"/>
    </row>
    <row r="752" spans="1:10" x14ac:dyDescent="0.25">
      <c r="A752" s="4" t="s">
        <v>600</v>
      </c>
      <c r="B752" s="4" t="s">
        <v>1051</v>
      </c>
      <c r="C752" s="4" t="s">
        <v>77</v>
      </c>
      <c r="D752" s="16" t="s">
        <v>99</v>
      </c>
      <c r="E752" s="16" t="s">
        <v>99</v>
      </c>
      <c r="F752" s="16" t="s">
        <v>83</v>
      </c>
      <c r="G752" s="8"/>
      <c r="H752" s="8"/>
      <c r="I752" s="8"/>
    </row>
    <row r="753" spans="1:10" x14ac:dyDescent="0.25">
      <c r="A753" s="4" t="s">
        <v>600</v>
      </c>
      <c r="B753" s="4" t="s">
        <v>1051</v>
      </c>
      <c r="C753" s="4" t="s">
        <v>77</v>
      </c>
      <c r="D753" s="16" t="s">
        <v>97</v>
      </c>
      <c r="E753" s="16" t="s">
        <v>98</v>
      </c>
      <c r="F753" s="16" t="s">
        <v>83</v>
      </c>
      <c r="G753" s="8"/>
      <c r="H753" s="8"/>
      <c r="I753" s="8"/>
    </row>
    <row r="754" spans="1:10" x14ac:dyDescent="0.25">
      <c r="A754" s="4" t="s">
        <v>600</v>
      </c>
      <c r="B754" s="4" t="s">
        <v>1051</v>
      </c>
      <c r="C754" s="4" t="s">
        <v>77</v>
      </c>
      <c r="D754" s="16" t="s">
        <v>25</v>
      </c>
      <c r="E754" s="16" t="s">
        <v>333</v>
      </c>
      <c r="F754" s="16" t="s">
        <v>83</v>
      </c>
      <c r="G754" s="8"/>
      <c r="H754" s="8"/>
      <c r="I754" s="8"/>
    </row>
    <row r="755" spans="1:10" x14ac:dyDescent="0.25">
      <c r="A755" s="4" t="s">
        <v>600</v>
      </c>
      <c r="B755" s="4" t="s">
        <v>1051</v>
      </c>
      <c r="C755" s="4" t="s">
        <v>77</v>
      </c>
      <c r="D755" s="16" t="s">
        <v>89</v>
      </c>
      <c r="E755" s="16" t="s">
        <v>89</v>
      </c>
      <c r="G755" s="8"/>
      <c r="H755" s="8"/>
      <c r="I755" s="8"/>
    </row>
    <row r="756" spans="1:10" x14ac:dyDescent="0.25">
      <c r="A756" s="4" t="s">
        <v>600</v>
      </c>
      <c r="B756" s="4" t="s">
        <v>1051</v>
      </c>
      <c r="C756" s="4" t="s">
        <v>77</v>
      </c>
      <c r="D756" s="16" t="s">
        <v>90</v>
      </c>
      <c r="E756" s="16" t="s">
        <v>90</v>
      </c>
      <c r="G756" s="8"/>
      <c r="H756" s="8"/>
      <c r="I756" s="8"/>
    </row>
    <row r="757" spans="1:10" x14ac:dyDescent="0.25">
      <c r="A757" s="4" t="s">
        <v>600</v>
      </c>
      <c r="B757" s="4" t="s">
        <v>1051</v>
      </c>
      <c r="C757" s="4" t="s">
        <v>77</v>
      </c>
      <c r="D757" s="16" t="s">
        <v>93</v>
      </c>
      <c r="E757" s="16" t="s">
        <v>93</v>
      </c>
      <c r="G757" s="8"/>
      <c r="H757" s="8"/>
      <c r="I757" s="8"/>
    </row>
    <row r="758" spans="1:10" x14ac:dyDescent="0.25">
      <c r="A758" s="4" t="s">
        <v>600</v>
      </c>
      <c r="B758" s="4" t="s">
        <v>1051</v>
      </c>
      <c r="C758" s="4" t="s">
        <v>77</v>
      </c>
      <c r="D758" s="16" t="s">
        <v>94</v>
      </c>
      <c r="E758" s="16" t="s">
        <v>94</v>
      </c>
      <c r="G758" s="8"/>
      <c r="H758" s="8"/>
      <c r="I758" s="8"/>
    </row>
    <row r="759" spans="1:10" ht="30" x14ac:dyDescent="0.25">
      <c r="A759" s="4" t="s">
        <v>600</v>
      </c>
      <c r="B759" s="4" t="s">
        <v>1051</v>
      </c>
      <c r="C759" s="4" t="s">
        <v>95</v>
      </c>
      <c r="D759" s="16" t="str">
        <f t="shared" ref="D759:D760" si="1">I759&amp;".txt"</f>
        <v>01 Verification-Design.txt</v>
      </c>
      <c r="E759" s="16"/>
      <c r="G759" s="16" t="s">
        <v>1189</v>
      </c>
      <c r="H759" s="16" t="s">
        <v>60</v>
      </c>
      <c r="I759" s="16" t="str">
        <f>VLOOKUP(A759&amp;G759&amp;H759,Views!$E$1:$F$145,2,FALSE)</f>
        <v>01 Verification-Design</v>
      </c>
    </row>
    <row r="760" spans="1:10" ht="30" x14ac:dyDescent="0.25">
      <c r="A760" s="4" t="s">
        <v>600</v>
      </c>
      <c r="B760" s="4" t="s">
        <v>1051</v>
      </c>
      <c r="C760" s="4" t="s">
        <v>96</v>
      </c>
      <c r="D760" s="16" t="str">
        <f t="shared" si="1"/>
        <v>General Requirements View.txt</v>
      </c>
      <c r="E760" s="16" t="s">
        <v>81</v>
      </c>
      <c r="F760" s="16" t="s">
        <v>83</v>
      </c>
      <c r="G760" s="16" t="s">
        <v>259</v>
      </c>
      <c r="H760" s="16" t="s">
        <v>59</v>
      </c>
      <c r="I760" s="16" t="str">
        <f>VLOOKUP(A760&amp;G760&amp;H760,Views!$E$1:$F$145,2,FALSE)</f>
        <v>General Requirements View</v>
      </c>
    </row>
    <row r="761" spans="1:10" x14ac:dyDescent="0.25">
      <c r="G761" s="8"/>
      <c r="H761" s="8"/>
      <c r="I761" s="8"/>
    </row>
    <row r="762" spans="1:10" x14ac:dyDescent="0.25">
      <c r="A762" s="4" t="s">
        <v>600</v>
      </c>
      <c r="B762" s="4" t="s">
        <v>1389</v>
      </c>
      <c r="C762" s="4" t="s">
        <v>77</v>
      </c>
      <c r="D762" s="35" t="s">
        <v>912</v>
      </c>
      <c r="E762" s="35" t="s">
        <v>79</v>
      </c>
      <c r="F762" s="8"/>
      <c r="G762" s="8"/>
      <c r="H762" s="8"/>
      <c r="I762" s="8"/>
    </row>
    <row r="763" spans="1:10" x14ac:dyDescent="0.25">
      <c r="A763" s="4" t="s">
        <v>600</v>
      </c>
      <c r="B763" s="4" t="s">
        <v>1389</v>
      </c>
      <c r="C763" s="4" t="s">
        <v>77</v>
      </c>
      <c r="D763" s="16" t="s">
        <v>477</v>
      </c>
      <c r="E763" s="16" t="s">
        <v>477</v>
      </c>
      <c r="G763" s="8"/>
      <c r="H763" s="8"/>
      <c r="I763" s="8"/>
    </row>
    <row r="764" spans="1:10" x14ac:dyDescent="0.25">
      <c r="A764" s="4" t="s">
        <v>600</v>
      </c>
      <c r="B764" s="4" t="s">
        <v>1389</v>
      </c>
      <c r="C764" s="4" t="s">
        <v>77</v>
      </c>
      <c r="D764" s="16" t="s">
        <v>80</v>
      </c>
      <c r="E764" s="16" t="s">
        <v>81</v>
      </c>
      <c r="F764" s="8"/>
      <c r="G764" s="8"/>
      <c r="H764" s="8"/>
      <c r="I764" s="8"/>
    </row>
    <row r="765" spans="1:10" x14ac:dyDescent="0.25">
      <c r="A765" s="4" t="s">
        <v>600</v>
      </c>
      <c r="B765" s="4" t="s">
        <v>1389</v>
      </c>
      <c r="C765" s="4" t="s">
        <v>77</v>
      </c>
      <c r="D765" s="16" t="s">
        <v>82</v>
      </c>
      <c r="E765" s="16" t="s">
        <v>79</v>
      </c>
      <c r="F765" s="16" t="s">
        <v>83</v>
      </c>
      <c r="G765" s="8"/>
      <c r="H765" s="8"/>
      <c r="I765" s="8"/>
    </row>
    <row r="766" spans="1:10" x14ac:dyDescent="0.25">
      <c r="A766" s="4" t="s">
        <v>600</v>
      </c>
      <c r="B766" s="4" t="s">
        <v>1389</v>
      </c>
      <c r="C766" s="4" t="s">
        <v>77</v>
      </c>
      <c r="D766" s="16" t="s">
        <v>84</v>
      </c>
      <c r="E766" s="16" t="s">
        <v>81</v>
      </c>
      <c r="F766" s="16" t="s">
        <v>83</v>
      </c>
      <c r="G766" s="8"/>
      <c r="H766" s="8"/>
      <c r="I766" s="8"/>
    </row>
    <row r="767" spans="1:10" x14ac:dyDescent="0.25">
      <c r="A767" s="4" t="s">
        <v>600</v>
      </c>
      <c r="B767" s="4" t="s">
        <v>1389</v>
      </c>
      <c r="C767" s="4" t="s">
        <v>77</v>
      </c>
      <c r="D767" s="16" t="s">
        <v>994</v>
      </c>
      <c r="E767" s="16" t="s">
        <v>1462</v>
      </c>
      <c r="F767" s="16" t="s">
        <v>83</v>
      </c>
      <c r="G767" s="8"/>
      <c r="H767" s="8"/>
      <c r="I767" s="8"/>
      <c r="J767" t="b">
        <v>1</v>
      </c>
    </row>
    <row r="768" spans="1:10" x14ac:dyDescent="0.25">
      <c r="A768" s="4" t="s">
        <v>600</v>
      </c>
      <c r="B768" s="4" t="s">
        <v>1389</v>
      </c>
      <c r="C768" s="4" t="s">
        <v>77</v>
      </c>
      <c r="D768" s="16" t="s">
        <v>86</v>
      </c>
      <c r="E768" s="16" t="s">
        <v>87</v>
      </c>
      <c r="F768" s="16" t="s">
        <v>83</v>
      </c>
      <c r="G768" s="8"/>
      <c r="H768" s="8"/>
      <c r="I768" s="8"/>
    </row>
    <row r="769" spans="1:10" x14ac:dyDescent="0.25">
      <c r="A769" s="4" t="s">
        <v>600</v>
      </c>
      <c r="B769" s="4" t="s">
        <v>1389</v>
      </c>
      <c r="C769" s="4" t="s">
        <v>77</v>
      </c>
      <c r="D769" s="16" t="s">
        <v>88</v>
      </c>
      <c r="E769" s="16" t="s">
        <v>88</v>
      </c>
      <c r="F769" s="16" t="s">
        <v>83</v>
      </c>
      <c r="G769" s="8"/>
      <c r="H769" s="8"/>
      <c r="I769" s="8"/>
    </row>
    <row r="770" spans="1:10" x14ac:dyDescent="0.25">
      <c r="A770" s="4" t="s">
        <v>600</v>
      </c>
      <c r="B770" s="4" t="s">
        <v>1389</v>
      </c>
      <c r="C770" s="4" t="s">
        <v>77</v>
      </c>
      <c r="D770" s="16" t="s">
        <v>97</v>
      </c>
      <c r="E770" s="16" t="s">
        <v>98</v>
      </c>
      <c r="F770" s="16" t="s">
        <v>83</v>
      </c>
      <c r="G770" s="8"/>
      <c r="H770" s="8"/>
      <c r="I770" s="8"/>
    </row>
    <row r="771" spans="1:10" x14ac:dyDescent="0.25">
      <c r="A771" s="4" t="s">
        <v>600</v>
      </c>
      <c r="B771" s="4" t="s">
        <v>1389</v>
      </c>
      <c r="C771" s="4" t="s">
        <v>77</v>
      </c>
      <c r="D771" s="16" t="s">
        <v>913</v>
      </c>
      <c r="E771" s="16" t="s">
        <v>913</v>
      </c>
      <c r="F771" s="8"/>
      <c r="G771" s="8"/>
      <c r="H771" s="8"/>
      <c r="I771" s="8"/>
    </row>
    <row r="772" spans="1:10" x14ac:dyDescent="0.25">
      <c r="A772" s="4" t="s">
        <v>600</v>
      </c>
      <c r="B772" s="4" t="s">
        <v>1389</v>
      </c>
      <c r="C772" s="4" t="s">
        <v>77</v>
      </c>
      <c r="D772" s="16" t="s">
        <v>914</v>
      </c>
      <c r="E772" s="16" t="s">
        <v>914</v>
      </c>
      <c r="F772" s="8"/>
      <c r="G772" s="8"/>
      <c r="H772" s="8"/>
      <c r="I772" s="8"/>
    </row>
    <row r="773" spans="1:10" x14ac:dyDescent="0.25">
      <c r="A773" s="4" t="s">
        <v>600</v>
      </c>
      <c r="B773" s="4" t="s">
        <v>1389</v>
      </c>
      <c r="C773" s="4" t="s">
        <v>77</v>
      </c>
      <c r="D773" s="16" t="s">
        <v>801</v>
      </c>
      <c r="E773" s="16" t="s">
        <v>801</v>
      </c>
      <c r="F773" s="8"/>
      <c r="G773" s="8"/>
      <c r="H773" s="8"/>
      <c r="I773" s="8"/>
    </row>
    <row r="774" spans="1:10" ht="30" x14ac:dyDescent="0.25">
      <c r="A774" s="4" t="s">
        <v>600</v>
      </c>
      <c r="B774" s="4" t="s">
        <v>1389</v>
      </c>
      <c r="C774" s="4" t="s">
        <v>95</v>
      </c>
      <c r="D774" s="16" t="str">
        <f>I774&amp;".txt"</f>
        <v>Verification-Process.txt</v>
      </c>
      <c r="E774" s="47"/>
      <c r="F774" s="47"/>
      <c r="G774" s="16" t="s">
        <v>1375</v>
      </c>
      <c r="H774" s="16" t="s">
        <v>798</v>
      </c>
      <c r="I774" s="16" t="str">
        <f>VLOOKUP(A774&amp;G774&amp;H774,Views!$E$1:$F$145,2,FALSE)</f>
        <v>Verification-Process</v>
      </c>
    </row>
    <row r="775" spans="1:10" ht="30" x14ac:dyDescent="0.25">
      <c r="A775" s="4" t="s">
        <v>600</v>
      </c>
      <c r="B775" s="4" t="s">
        <v>1389</v>
      </c>
      <c r="C775" s="4" t="s">
        <v>96</v>
      </c>
      <c r="D775" s="16" t="str">
        <f>I775&amp;".txt"</f>
        <v>General Requirements View.txt</v>
      </c>
      <c r="E775" s="16" t="s">
        <v>81</v>
      </c>
      <c r="F775" s="16" t="s">
        <v>83</v>
      </c>
      <c r="G775" s="16" t="s">
        <v>259</v>
      </c>
      <c r="H775" s="16" t="s">
        <v>59</v>
      </c>
      <c r="I775" s="16" t="str">
        <f>VLOOKUP(A775&amp;G775&amp;H775,Views!$E$1:$F$145,2,FALSE)</f>
        <v>General Requirements View</v>
      </c>
    </row>
    <row r="776" spans="1:10" x14ac:dyDescent="0.25">
      <c r="G776" s="8"/>
      <c r="H776" s="8"/>
      <c r="I776" s="8"/>
    </row>
    <row r="777" spans="1:10" x14ac:dyDescent="0.25">
      <c r="A777" s="4" t="s">
        <v>1318</v>
      </c>
      <c r="B777" s="4" t="s">
        <v>259</v>
      </c>
      <c r="C777" s="4" t="s">
        <v>77</v>
      </c>
      <c r="D777" s="22" t="s">
        <v>749</v>
      </c>
      <c r="E777" s="22" t="s">
        <v>203</v>
      </c>
      <c r="F777" s="3"/>
      <c r="G777" s="8"/>
      <c r="H777" s="8"/>
      <c r="I777" s="8"/>
    </row>
    <row r="778" spans="1:10" x14ac:dyDescent="0.25">
      <c r="A778" s="4" t="s">
        <v>1318</v>
      </c>
      <c r="B778" s="4" t="s">
        <v>259</v>
      </c>
      <c r="C778" s="4" t="s">
        <v>77</v>
      </c>
      <c r="D778" s="22" t="s">
        <v>729</v>
      </c>
      <c r="E778" s="22" t="s">
        <v>203</v>
      </c>
      <c r="F778" s="3"/>
      <c r="G778" s="8"/>
      <c r="H778" s="8"/>
      <c r="I778" s="8"/>
    </row>
    <row r="779" spans="1:10" x14ac:dyDescent="0.25">
      <c r="A779" s="4" t="s">
        <v>1318</v>
      </c>
      <c r="B779" s="4" t="s">
        <v>259</v>
      </c>
      <c r="C779" s="4" t="s">
        <v>77</v>
      </c>
      <c r="D779" s="22" t="s">
        <v>750</v>
      </c>
      <c r="E779" s="22" t="s">
        <v>203</v>
      </c>
      <c r="F779" s="3"/>
      <c r="G779" s="8"/>
      <c r="H779" s="8"/>
      <c r="I779" s="8"/>
    </row>
    <row r="780" spans="1:10" x14ac:dyDescent="0.25">
      <c r="A780" s="4" t="s">
        <v>1318</v>
      </c>
      <c r="B780" s="4" t="s">
        <v>259</v>
      </c>
      <c r="C780" s="4" t="s">
        <v>77</v>
      </c>
      <c r="D780" s="22" t="s">
        <v>1031</v>
      </c>
      <c r="E780" s="22" t="s">
        <v>203</v>
      </c>
      <c r="F780" s="3"/>
      <c r="G780" s="8"/>
      <c r="H780" s="8"/>
      <c r="I780" s="8"/>
    </row>
    <row r="781" spans="1:10" x14ac:dyDescent="0.25">
      <c r="A781" s="4" t="s">
        <v>1318</v>
      </c>
      <c r="B781" s="4" t="s">
        <v>259</v>
      </c>
      <c r="C781" s="4" t="s">
        <v>77</v>
      </c>
      <c r="D781" s="22" t="s">
        <v>1032</v>
      </c>
      <c r="E781" s="22"/>
      <c r="F781" s="3"/>
      <c r="G781" s="8"/>
      <c r="H781" s="8"/>
      <c r="I781" s="8"/>
      <c r="J781" s="8"/>
    </row>
    <row r="782" spans="1:10" x14ac:dyDescent="0.25">
      <c r="A782" s="4" t="s">
        <v>1318</v>
      </c>
      <c r="B782" s="4" t="s">
        <v>259</v>
      </c>
      <c r="C782" s="4" t="s">
        <v>77</v>
      </c>
      <c r="D782" s="22" t="s">
        <v>751</v>
      </c>
      <c r="E782" s="22" t="s">
        <v>203</v>
      </c>
      <c r="F782" s="3"/>
      <c r="G782" s="8"/>
      <c r="H782" s="8"/>
      <c r="I782" s="8"/>
    </row>
    <row r="783" spans="1:10" x14ac:dyDescent="0.25">
      <c r="A783" s="4" t="s">
        <v>1318</v>
      </c>
      <c r="B783" s="4" t="s">
        <v>259</v>
      </c>
      <c r="C783" s="4" t="s">
        <v>77</v>
      </c>
      <c r="D783" s="22" t="s">
        <v>752</v>
      </c>
      <c r="E783" s="22" t="s">
        <v>203</v>
      </c>
      <c r="F783" s="3"/>
      <c r="G783" s="8"/>
      <c r="H783" s="8"/>
      <c r="I783" s="8"/>
    </row>
    <row r="784" spans="1:10" x14ac:dyDescent="0.25">
      <c r="A784" s="4" t="s">
        <v>1318</v>
      </c>
      <c r="B784" s="4" t="s">
        <v>259</v>
      </c>
      <c r="C784" s="4" t="s">
        <v>77</v>
      </c>
      <c r="D784" s="22" t="s">
        <v>733</v>
      </c>
      <c r="E784" s="22" t="s">
        <v>203</v>
      </c>
      <c r="F784" s="3"/>
      <c r="G784" s="8"/>
      <c r="H784" s="8"/>
      <c r="I784" s="8"/>
      <c r="J784" s="8"/>
    </row>
    <row r="785" spans="1:9" x14ac:dyDescent="0.25">
      <c r="A785" s="4" t="s">
        <v>1318</v>
      </c>
      <c r="B785" s="4" t="s">
        <v>259</v>
      </c>
      <c r="C785" s="4" t="s">
        <v>77</v>
      </c>
      <c r="D785" s="22" t="s">
        <v>1033</v>
      </c>
      <c r="E785" s="22" t="s">
        <v>203</v>
      </c>
      <c r="F785" s="3"/>
      <c r="G785" s="8"/>
      <c r="H785" s="8"/>
      <c r="I785" s="8"/>
    </row>
    <row r="786" spans="1:9" x14ac:dyDescent="0.25">
      <c r="A786" s="4" t="s">
        <v>1318</v>
      </c>
      <c r="B786" s="4" t="s">
        <v>259</v>
      </c>
      <c r="C786" s="4" t="s">
        <v>77</v>
      </c>
      <c r="D786" s="22" t="s">
        <v>753</v>
      </c>
      <c r="E786" s="22" t="s">
        <v>203</v>
      </c>
      <c r="F786" s="3"/>
      <c r="G786" s="8"/>
      <c r="H786" s="8"/>
      <c r="I786" s="8"/>
    </row>
    <row r="787" spans="1:9" x14ac:dyDescent="0.25">
      <c r="A787" s="4" t="s">
        <v>1318</v>
      </c>
      <c r="B787" s="4" t="s">
        <v>259</v>
      </c>
      <c r="C787" s="4" t="s">
        <v>77</v>
      </c>
      <c r="D787" s="22" t="s">
        <v>754</v>
      </c>
      <c r="E787" s="22" t="s">
        <v>203</v>
      </c>
      <c r="F787" s="3"/>
      <c r="G787" s="8"/>
      <c r="H787" s="8"/>
      <c r="I787" s="8"/>
    </row>
    <row r="788" spans="1:9" x14ac:dyDescent="0.25">
      <c r="A788" s="4" t="s">
        <v>1318</v>
      </c>
      <c r="B788" s="4" t="s">
        <v>259</v>
      </c>
      <c r="C788" s="4" t="s">
        <v>77</v>
      </c>
      <c r="D788" s="22" t="s">
        <v>878</v>
      </c>
      <c r="E788" s="22" t="s">
        <v>203</v>
      </c>
      <c r="F788" s="3"/>
      <c r="G788" s="8"/>
      <c r="H788" s="8"/>
      <c r="I788" s="8"/>
    </row>
    <row r="789" spans="1:9" x14ac:dyDescent="0.25">
      <c r="A789" s="4" t="s">
        <v>1318</v>
      </c>
      <c r="B789" s="4" t="s">
        <v>259</v>
      </c>
      <c r="C789" s="4" t="s">
        <v>77</v>
      </c>
      <c r="D789" s="22" t="s">
        <v>946</v>
      </c>
      <c r="E789" s="22" t="s">
        <v>203</v>
      </c>
      <c r="F789" s="3"/>
      <c r="G789" s="8"/>
      <c r="H789" s="8"/>
      <c r="I789" s="8"/>
    </row>
    <row r="790" spans="1:9" x14ac:dyDescent="0.25">
      <c r="A790" s="4" t="s">
        <v>1318</v>
      </c>
      <c r="B790" s="4" t="s">
        <v>259</v>
      </c>
      <c r="C790" s="4" t="s">
        <v>77</v>
      </c>
      <c r="D790" s="16" t="s">
        <v>477</v>
      </c>
      <c r="E790" s="16" t="s">
        <v>477</v>
      </c>
      <c r="F790" s="3"/>
      <c r="G790" s="8"/>
      <c r="H790" s="8"/>
      <c r="I790" s="8"/>
    </row>
    <row r="791" spans="1:9" x14ac:dyDescent="0.25">
      <c r="A791" s="4" t="s">
        <v>1318</v>
      </c>
      <c r="B791" s="4" t="s">
        <v>259</v>
      </c>
      <c r="C791" s="4" t="s">
        <v>77</v>
      </c>
      <c r="D791" s="16" t="s">
        <v>84</v>
      </c>
      <c r="E791" s="16" t="s">
        <v>1436</v>
      </c>
      <c r="F791" s="3"/>
      <c r="G791" s="8"/>
      <c r="H791" s="8"/>
      <c r="I791" s="8"/>
    </row>
    <row r="792" spans="1:9" x14ac:dyDescent="0.25">
      <c r="A792" s="4" t="s">
        <v>1318</v>
      </c>
      <c r="B792" s="4" t="s">
        <v>259</v>
      </c>
      <c r="C792" s="4" t="s">
        <v>77</v>
      </c>
      <c r="D792" s="16" t="s">
        <v>82</v>
      </c>
      <c r="E792" s="16" t="s">
        <v>79</v>
      </c>
      <c r="F792" s="3"/>
      <c r="G792" s="8"/>
      <c r="H792" s="8"/>
      <c r="I792" s="8"/>
    </row>
    <row r="793" spans="1:9" x14ac:dyDescent="0.25">
      <c r="A793" s="4" t="s">
        <v>1318</v>
      </c>
      <c r="B793" s="4" t="s">
        <v>259</v>
      </c>
      <c r="C793" s="4" t="s">
        <v>77</v>
      </c>
      <c r="D793" s="16" t="s">
        <v>85</v>
      </c>
      <c r="E793" s="16" t="s">
        <v>1429</v>
      </c>
      <c r="F793" s="3"/>
      <c r="G793" s="8"/>
      <c r="H793" s="8"/>
      <c r="I793" s="8"/>
    </row>
    <row r="794" spans="1:9" x14ac:dyDescent="0.25">
      <c r="A794" s="4" t="s">
        <v>1318</v>
      </c>
      <c r="B794" s="4" t="s">
        <v>259</v>
      </c>
      <c r="C794" s="4" t="s">
        <v>77</v>
      </c>
      <c r="D794" s="16" t="s">
        <v>86</v>
      </c>
      <c r="E794" s="16" t="s">
        <v>87</v>
      </c>
      <c r="F794" s="3"/>
      <c r="G794" s="8"/>
      <c r="H794" s="8"/>
      <c r="I794" s="8"/>
    </row>
    <row r="795" spans="1:9" x14ac:dyDescent="0.25">
      <c r="A795" s="4" t="s">
        <v>1318</v>
      </c>
      <c r="B795" s="4" t="s">
        <v>259</v>
      </c>
      <c r="C795" s="4" t="s">
        <v>77</v>
      </c>
      <c r="D795" s="16" t="s">
        <v>88</v>
      </c>
      <c r="E795" s="16" t="s">
        <v>1430</v>
      </c>
      <c r="F795" s="3"/>
      <c r="G795" s="8"/>
      <c r="H795" s="8"/>
      <c r="I795" s="8"/>
    </row>
    <row r="796" spans="1:9" x14ac:dyDescent="0.25">
      <c r="A796" s="4" t="s">
        <v>1318</v>
      </c>
      <c r="B796" s="4" t="s">
        <v>259</v>
      </c>
      <c r="C796" s="4" t="s">
        <v>77</v>
      </c>
      <c r="D796" s="16" t="s">
        <v>97</v>
      </c>
      <c r="E796" s="16" t="s">
        <v>1431</v>
      </c>
      <c r="F796" s="3"/>
      <c r="G796" s="8"/>
      <c r="H796" s="8"/>
      <c r="I796" s="8"/>
    </row>
    <row r="797" spans="1:9" x14ac:dyDescent="0.25">
      <c r="A797" s="4" t="s">
        <v>1318</v>
      </c>
      <c r="B797" s="4" t="s">
        <v>259</v>
      </c>
      <c r="C797" s="4" t="s">
        <v>77</v>
      </c>
      <c r="D797" s="16" t="s">
        <v>99</v>
      </c>
      <c r="E797" s="16" t="s">
        <v>1432</v>
      </c>
      <c r="F797" s="3"/>
      <c r="G797" s="8"/>
      <c r="H797" s="8"/>
      <c r="I797" s="8"/>
    </row>
    <row r="798" spans="1:9" x14ac:dyDescent="0.25">
      <c r="A798" s="4" t="s">
        <v>1318</v>
      </c>
      <c r="B798" s="4" t="s">
        <v>259</v>
      </c>
      <c r="C798" s="4" t="s">
        <v>77</v>
      </c>
      <c r="D798" s="16" t="s">
        <v>100</v>
      </c>
      <c r="E798" s="16" t="s">
        <v>1433</v>
      </c>
      <c r="F798" s="3"/>
      <c r="G798" s="8"/>
      <c r="H798" s="8"/>
      <c r="I798" s="8"/>
    </row>
    <row r="799" spans="1:9" x14ac:dyDescent="0.25">
      <c r="A799" s="4" t="s">
        <v>1318</v>
      </c>
      <c r="B799" s="4" t="s">
        <v>259</v>
      </c>
      <c r="C799" s="4" t="s">
        <v>77</v>
      </c>
      <c r="D799" s="16" t="s">
        <v>102</v>
      </c>
      <c r="E799" s="16" t="s">
        <v>1434</v>
      </c>
      <c r="F799" s="3"/>
      <c r="G799" s="8"/>
      <c r="H799" s="8"/>
      <c r="I799" s="8"/>
    </row>
    <row r="800" spans="1:9" x14ac:dyDescent="0.25">
      <c r="A800" s="4" t="s">
        <v>1318</v>
      </c>
      <c r="B800" s="4" t="s">
        <v>259</v>
      </c>
      <c r="C800" s="4" t="s">
        <v>77</v>
      </c>
      <c r="D800" s="16" t="s">
        <v>25</v>
      </c>
      <c r="E800" s="16" t="s">
        <v>1437</v>
      </c>
      <c r="F800" s="3"/>
      <c r="G800" s="8"/>
      <c r="H800" s="8"/>
      <c r="I800" s="8"/>
    </row>
    <row r="801" spans="1:10" x14ac:dyDescent="0.25">
      <c r="A801" s="4" t="s">
        <v>1318</v>
      </c>
      <c r="B801" s="4" t="s">
        <v>259</v>
      </c>
      <c r="C801" s="4" t="s">
        <v>77</v>
      </c>
      <c r="D801" s="16" t="s">
        <v>78</v>
      </c>
      <c r="E801" s="16" t="s">
        <v>79</v>
      </c>
      <c r="F801" s="16" t="s">
        <v>1178</v>
      </c>
      <c r="G801" s="8"/>
      <c r="H801" s="8"/>
      <c r="I801" s="8"/>
    </row>
    <row r="802" spans="1:10" x14ac:dyDescent="0.25">
      <c r="A802" s="4" t="s">
        <v>1318</v>
      </c>
      <c r="B802" s="4" t="s">
        <v>259</v>
      </c>
      <c r="C802" s="4" t="s">
        <v>77</v>
      </c>
      <c r="D802" s="16" t="s">
        <v>89</v>
      </c>
      <c r="E802" s="16" t="s">
        <v>1463</v>
      </c>
      <c r="F802" s="16" t="s">
        <v>1178</v>
      </c>
      <c r="G802" s="8"/>
      <c r="H802" s="8"/>
      <c r="I802" s="8"/>
      <c r="J802" t="b">
        <v>1</v>
      </c>
    </row>
    <row r="803" spans="1:10" x14ac:dyDescent="0.25">
      <c r="A803" s="4" t="s">
        <v>1318</v>
      </c>
      <c r="B803" s="4" t="s">
        <v>259</v>
      </c>
      <c r="C803" s="4" t="s">
        <v>77</v>
      </c>
      <c r="D803" s="16" t="s">
        <v>90</v>
      </c>
      <c r="E803" s="16" t="s">
        <v>1464</v>
      </c>
      <c r="F803" s="16" t="s">
        <v>1178</v>
      </c>
      <c r="G803" s="8"/>
      <c r="H803" s="8"/>
      <c r="I803" s="8"/>
      <c r="J803" t="b">
        <v>1</v>
      </c>
    </row>
    <row r="804" spans="1:10" x14ac:dyDescent="0.25">
      <c r="A804" s="4" t="s">
        <v>1318</v>
      </c>
      <c r="B804" s="4" t="s">
        <v>259</v>
      </c>
      <c r="C804" s="4" t="s">
        <v>77</v>
      </c>
      <c r="D804" s="16" t="s">
        <v>93</v>
      </c>
      <c r="E804" s="16" t="s">
        <v>1465</v>
      </c>
      <c r="F804" s="16" t="s">
        <v>1178</v>
      </c>
      <c r="G804" s="8"/>
      <c r="H804" s="8"/>
      <c r="I804" s="8"/>
      <c r="J804" t="b">
        <v>1</v>
      </c>
    </row>
    <row r="805" spans="1:10" x14ac:dyDescent="0.25">
      <c r="A805" s="4" t="s">
        <v>1318</v>
      </c>
      <c r="B805" s="4" t="s">
        <v>259</v>
      </c>
      <c r="C805" s="4" t="s">
        <v>77</v>
      </c>
      <c r="D805" s="16" t="s">
        <v>94</v>
      </c>
      <c r="E805" s="16" t="s">
        <v>1466</v>
      </c>
      <c r="F805" s="16" t="s">
        <v>1178</v>
      </c>
      <c r="G805" s="8"/>
      <c r="H805" s="8"/>
      <c r="I805" s="8"/>
      <c r="J805" t="b">
        <v>1</v>
      </c>
    </row>
    <row r="806" spans="1:10" x14ac:dyDescent="0.25">
      <c r="A806" s="4" t="s">
        <v>1318</v>
      </c>
      <c r="B806" s="4" t="s">
        <v>259</v>
      </c>
      <c r="C806" s="4" t="s">
        <v>77</v>
      </c>
      <c r="D806" s="16" t="s">
        <v>912</v>
      </c>
      <c r="E806" s="16" t="s">
        <v>79</v>
      </c>
      <c r="F806" s="16" t="s">
        <v>1439</v>
      </c>
      <c r="G806" s="8"/>
      <c r="H806" s="8"/>
      <c r="I806" s="8"/>
    </row>
    <row r="807" spans="1:10" x14ac:dyDescent="0.25">
      <c r="A807" s="4" t="s">
        <v>1318</v>
      </c>
      <c r="B807" s="4" t="s">
        <v>259</v>
      </c>
      <c r="C807" s="4" t="s">
        <v>77</v>
      </c>
      <c r="D807" s="16" t="s">
        <v>913</v>
      </c>
      <c r="E807" s="16" t="s">
        <v>915</v>
      </c>
      <c r="F807" s="16" t="s">
        <v>1439</v>
      </c>
      <c r="G807" s="8"/>
      <c r="H807" s="8"/>
      <c r="I807" s="8"/>
    </row>
    <row r="808" spans="1:10" x14ac:dyDescent="0.25">
      <c r="A808" s="4" t="s">
        <v>1318</v>
      </c>
      <c r="B808" s="4" t="s">
        <v>259</v>
      </c>
      <c r="C808" s="4" t="s">
        <v>77</v>
      </c>
      <c r="D808" s="16" t="s">
        <v>914</v>
      </c>
      <c r="E808" s="16" t="s">
        <v>1435</v>
      </c>
      <c r="F808" s="16" t="s">
        <v>1439</v>
      </c>
      <c r="G808" s="8"/>
      <c r="H808" s="8"/>
      <c r="I808" s="8"/>
    </row>
    <row r="809" spans="1:10" x14ac:dyDescent="0.25">
      <c r="A809" s="4" t="s">
        <v>1318</v>
      </c>
      <c r="B809" s="4" t="s">
        <v>259</v>
      </c>
      <c r="C809" s="4" t="s">
        <v>77</v>
      </c>
      <c r="D809" s="16" t="s">
        <v>801</v>
      </c>
      <c r="E809" s="16" t="s">
        <v>361</v>
      </c>
      <c r="F809" s="16" t="s">
        <v>1439</v>
      </c>
      <c r="G809" s="8"/>
      <c r="H809" s="8"/>
      <c r="I809" s="8"/>
    </row>
    <row r="810" spans="1:10" x14ac:dyDescent="0.25">
      <c r="A810" s="4" t="s">
        <v>1318</v>
      </c>
      <c r="B810" s="4" t="s">
        <v>259</v>
      </c>
      <c r="C810" s="4" t="s">
        <v>77</v>
      </c>
      <c r="D810" s="16" t="s">
        <v>105</v>
      </c>
      <c r="E810" s="16" t="s">
        <v>105</v>
      </c>
      <c r="F810" s="3"/>
      <c r="G810" s="8"/>
      <c r="H810" s="8"/>
      <c r="I810" s="8"/>
    </row>
    <row r="811" spans="1:10" ht="45" x14ac:dyDescent="0.25">
      <c r="A811" s="4" t="s">
        <v>1318</v>
      </c>
      <c r="B811" s="4" t="s">
        <v>259</v>
      </c>
      <c r="C811" s="4" t="s">
        <v>95</v>
      </c>
      <c r="D811" s="16" t="str">
        <f>I811&amp;".txt"</f>
        <v>General Requirements View (JH).txt</v>
      </c>
      <c r="E811" s="16" t="s">
        <v>81</v>
      </c>
      <c r="F811" s="3"/>
      <c r="G811" s="16" t="s">
        <v>1420</v>
      </c>
      <c r="H811" s="16" t="s">
        <v>1428</v>
      </c>
      <c r="I811" s="16" t="str">
        <f>VLOOKUP(A811&amp;G811&amp;H811,Views!$E$1:$F$155,2,FALSE)</f>
        <v>General Requirements View (JH)</v>
      </c>
    </row>
    <row r="812" spans="1:10" ht="30" x14ac:dyDescent="0.25">
      <c r="A812" s="4" t="s">
        <v>1318</v>
      </c>
      <c r="B812" s="4" t="s">
        <v>259</v>
      </c>
      <c r="C812" s="4" t="s">
        <v>96</v>
      </c>
      <c r="D812" s="16" t="str">
        <f>I812&amp;".txt"</f>
        <v>02 Verification-Process (JH).txt</v>
      </c>
      <c r="E812" s="16" t="s">
        <v>81</v>
      </c>
      <c r="F812" s="16" t="s">
        <v>1439</v>
      </c>
      <c r="G812" s="16" t="s">
        <v>421</v>
      </c>
      <c r="H812" s="16" t="s">
        <v>1426</v>
      </c>
      <c r="I812" s="16" t="str">
        <f>VLOOKUP(A812&amp;G812&amp;H812,Views!$E$1:$F$145,2,FALSE)</f>
        <v>02 Verification-Process (JH)</v>
      </c>
    </row>
    <row r="813" spans="1:10" ht="30" x14ac:dyDescent="0.25">
      <c r="A813" s="4" t="s">
        <v>1318</v>
      </c>
      <c r="B813" s="4" t="s">
        <v>259</v>
      </c>
      <c r="C813" s="4" t="s">
        <v>96</v>
      </c>
      <c r="D813" s="16" t="str">
        <f>I813&amp;".txt"</f>
        <v>01 Verification-Design (JH).txt</v>
      </c>
      <c r="E813" s="16" t="s">
        <v>81</v>
      </c>
      <c r="F813" s="16" t="s">
        <v>1178</v>
      </c>
      <c r="G813" s="16" t="s">
        <v>421</v>
      </c>
      <c r="H813" s="16" t="s">
        <v>1424</v>
      </c>
      <c r="I813" s="16" t="str">
        <f>VLOOKUP(A813&amp;G813&amp;H813,Views!$E$1:$F$155,2,FALSE)</f>
        <v>01 Verification-Design (JH)</v>
      </c>
    </row>
    <row r="814" spans="1:10" x14ac:dyDescent="0.25">
      <c r="G814" s="8"/>
      <c r="H814" s="8"/>
      <c r="I814" s="8"/>
    </row>
    <row r="815" spans="1:10" x14ac:dyDescent="0.25">
      <c r="A815" s="4" t="s">
        <v>1318</v>
      </c>
      <c r="B815" s="4" t="s">
        <v>1051</v>
      </c>
      <c r="C815" s="4" t="s">
        <v>77</v>
      </c>
      <c r="D815" s="22" t="s">
        <v>997</v>
      </c>
      <c r="E815" s="22" t="s">
        <v>203</v>
      </c>
      <c r="G815" s="8"/>
      <c r="H815" s="8"/>
      <c r="I815" s="8"/>
    </row>
    <row r="816" spans="1:10" x14ac:dyDescent="0.25">
      <c r="A816" s="4" t="s">
        <v>1318</v>
      </c>
      <c r="B816" s="4" t="s">
        <v>1051</v>
      </c>
      <c r="C816" s="4" t="s">
        <v>77</v>
      </c>
      <c r="D816" s="22" t="s">
        <v>905</v>
      </c>
      <c r="E816" s="22" t="s">
        <v>203</v>
      </c>
      <c r="G816" s="8"/>
      <c r="H816" s="8"/>
      <c r="I816" s="8"/>
    </row>
    <row r="817" spans="1:9" x14ac:dyDescent="0.25">
      <c r="A817" s="4" t="s">
        <v>1318</v>
      </c>
      <c r="B817" s="4" t="s">
        <v>1051</v>
      </c>
      <c r="C817" s="4" t="s">
        <v>77</v>
      </c>
      <c r="D817" s="22" t="s">
        <v>998</v>
      </c>
      <c r="E817" s="22" t="s">
        <v>203</v>
      </c>
      <c r="G817" s="8"/>
      <c r="H817" s="8"/>
      <c r="I817" s="8"/>
    </row>
    <row r="818" spans="1:9" x14ac:dyDescent="0.25">
      <c r="A818" s="4" t="s">
        <v>1318</v>
      </c>
      <c r="B818" s="4" t="s">
        <v>1051</v>
      </c>
      <c r="C818" s="4" t="s">
        <v>77</v>
      </c>
      <c r="D818" s="22" t="s">
        <v>906</v>
      </c>
      <c r="E818" s="22" t="s">
        <v>203</v>
      </c>
      <c r="G818" s="8"/>
      <c r="H818" s="8"/>
      <c r="I818" s="8"/>
    </row>
    <row r="819" spans="1:9" x14ac:dyDescent="0.25">
      <c r="A819" s="4" t="s">
        <v>1318</v>
      </c>
      <c r="B819" s="4" t="s">
        <v>1051</v>
      </c>
      <c r="C819" s="4" t="s">
        <v>77</v>
      </c>
      <c r="D819" s="22" t="s">
        <v>907</v>
      </c>
      <c r="E819" s="22" t="s">
        <v>203</v>
      </c>
      <c r="G819" s="8"/>
      <c r="H819" s="8"/>
      <c r="I819" s="8"/>
    </row>
    <row r="820" spans="1:9" x14ac:dyDescent="0.25">
      <c r="A820" s="4" t="s">
        <v>1318</v>
      </c>
      <c r="B820" s="4" t="s">
        <v>1051</v>
      </c>
      <c r="C820" s="4" t="s">
        <v>77</v>
      </c>
      <c r="D820" s="22" t="s">
        <v>999</v>
      </c>
      <c r="E820" s="22" t="s">
        <v>203</v>
      </c>
      <c r="G820" s="8"/>
      <c r="H820" s="8"/>
      <c r="I820" s="8"/>
    </row>
    <row r="821" spans="1:9" x14ac:dyDescent="0.25">
      <c r="A821" s="4" t="s">
        <v>1318</v>
      </c>
      <c r="B821" s="4" t="s">
        <v>1051</v>
      </c>
      <c r="C821" s="4" t="s">
        <v>77</v>
      </c>
      <c r="D821" s="22" t="s">
        <v>908</v>
      </c>
      <c r="E821" s="22" t="s">
        <v>203</v>
      </c>
      <c r="G821" s="8"/>
      <c r="H821" s="8"/>
      <c r="I821" s="8"/>
    </row>
    <row r="822" spans="1:9" x14ac:dyDescent="0.25">
      <c r="A822" s="4" t="s">
        <v>1318</v>
      </c>
      <c r="B822" s="4" t="s">
        <v>1051</v>
      </c>
      <c r="C822" s="4" t="s">
        <v>77</v>
      </c>
      <c r="D822" s="22" t="s">
        <v>1000</v>
      </c>
      <c r="E822" s="22" t="s">
        <v>203</v>
      </c>
      <c r="G822" s="8"/>
      <c r="H822" s="8"/>
      <c r="I822" s="8"/>
    </row>
    <row r="823" spans="1:9" x14ac:dyDescent="0.25">
      <c r="A823" s="4" t="s">
        <v>1318</v>
      </c>
      <c r="B823" s="4" t="s">
        <v>1051</v>
      </c>
      <c r="C823" s="4" t="s">
        <v>77</v>
      </c>
      <c r="D823" s="22" t="s">
        <v>900</v>
      </c>
      <c r="E823" s="22" t="s">
        <v>203</v>
      </c>
      <c r="G823" s="8"/>
      <c r="H823" s="8"/>
      <c r="I823" s="8"/>
    </row>
    <row r="824" spans="1:9" x14ac:dyDescent="0.25">
      <c r="A824" s="4" t="s">
        <v>1318</v>
      </c>
      <c r="B824" s="4" t="s">
        <v>1051</v>
      </c>
      <c r="C824" s="4" t="s">
        <v>77</v>
      </c>
      <c r="D824" s="22" t="s">
        <v>1001</v>
      </c>
      <c r="E824" s="22" t="s">
        <v>203</v>
      </c>
      <c r="G824" s="8"/>
      <c r="H824" s="8"/>
      <c r="I824" s="8"/>
    </row>
    <row r="825" spans="1:9" x14ac:dyDescent="0.25">
      <c r="A825" s="4" t="s">
        <v>1318</v>
      </c>
      <c r="B825" s="4" t="s">
        <v>1051</v>
      </c>
      <c r="C825" s="4" t="s">
        <v>77</v>
      </c>
      <c r="D825" s="22" t="s">
        <v>1002</v>
      </c>
      <c r="E825" s="22" t="s">
        <v>203</v>
      </c>
      <c r="G825" s="8"/>
      <c r="H825" s="8"/>
      <c r="I825" s="8"/>
    </row>
    <row r="826" spans="1:9" x14ac:dyDescent="0.25">
      <c r="A826" s="4" t="s">
        <v>1318</v>
      </c>
      <c r="B826" s="4" t="s">
        <v>1051</v>
      </c>
      <c r="C826" s="4" t="s">
        <v>77</v>
      </c>
      <c r="D826" s="16" t="s">
        <v>78</v>
      </c>
      <c r="E826" s="16" t="s">
        <v>79</v>
      </c>
      <c r="G826" s="8"/>
      <c r="H826" s="8"/>
      <c r="I826" s="8"/>
    </row>
    <row r="827" spans="1:9" x14ac:dyDescent="0.25">
      <c r="A827" s="4" t="s">
        <v>1318</v>
      </c>
      <c r="B827" s="4" t="s">
        <v>1051</v>
      </c>
      <c r="C827" s="4" t="s">
        <v>77</v>
      </c>
      <c r="D827" s="16" t="s">
        <v>477</v>
      </c>
      <c r="E827" s="16" t="s">
        <v>477</v>
      </c>
      <c r="G827" s="8"/>
      <c r="H827" s="8"/>
      <c r="I827" s="8"/>
    </row>
    <row r="828" spans="1:9" x14ac:dyDescent="0.25">
      <c r="A828" s="4" t="s">
        <v>1318</v>
      </c>
      <c r="B828" s="4" t="s">
        <v>1051</v>
      </c>
      <c r="C828" s="4" t="s">
        <v>77</v>
      </c>
      <c r="D828" s="16" t="s">
        <v>80</v>
      </c>
      <c r="E828" s="16" t="s">
        <v>81</v>
      </c>
      <c r="G828" s="8"/>
      <c r="H828" s="8"/>
      <c r="I828" s="8"/>
    </row>
    <row r="829" spans="1:9" x14ac:dyDescent="0.25">
      <c r="A829" s="4" t="s">
        <v>1318</v>
      </c>
      <c r="B829" s="4" t="s">
        <v>1051</v>
      </c>
      <c r="C829" s="4" t="s">
        <v>77</v>
      </c>
      <c r="D829" s="16" t="s">
        <v>1446</v>
      </c>
      <c r="E829" s="16" t="s">
        <v>1436</v>
      </c>
      <c r="G829" s="8"/>
      <c r="H829" s="8"/>
      <c r="I829" s="8"/>
    </row>
    <row r="830" spans="1:9" x14ac:dyDescent="0.25">
      <c r="A830" s="4" t="s">
        <v>1318</v>
      </c>
      <c r="B830" s="4" t="s">
        <v>1051</v>
      </c>
      <c r="C830" s="4" t="s">
        <v>77</v>
      </c>
      <c r="D830" s="16" t="s">
        <v>82</v>
      </c>
      <c r="E830" s="16" t="s">
        <v>79</v>
      </c>
      <c r="F830" s="16" t="s">
        <v>534</v>
      </c>
      <c r="G830" s="8"/>
      <c r="H830" s="8"/>
      <c r="I830" s="8"/>
    </row>
    <row r="831" spans="1:9" x14ac:dyDescent="0.25">
      <c r="A831" s="4" t="s">
        <v>1318</v>
      </c>
      <c r="B831" s="4" t="s">
        <v>1051</v>
      </c>
      <c r="C831" s="4" t="s">
        <v>77</v>
      </c>
      <c r="D831" s="16" t="s">
        <v>84</v>
      </c>
      <c r="E831" s="16" t="s">
        <v>81</v>
      </c>
      <c r="F831" s="16" t="s">
        <v>534</v>
      </c>
      <c r="G831" s="8"/>
      <c r="H831" s="8"/>
      <c r="I831" s="8"/>
    </row>
    <row r="832" spans="1:9" x14ac:dyDescent="0.25">
      <c r="A832" s="4" t="s">
        <v>1318</v>
      </c>
      <c r="B832" s="4" t="s">
        <v>1051</v>
      </c>
      <c r="C832" s="4" t="s">
        <v>77</v>
      </c>
      <c r="D832" s="16" t="s">
        <v>1440</v>
      </c>
      <c r="E832" s="16" t="s">
        <v>1436</v>
      </c>
      <c r="F832" s="16" t="s">
        <v>534</v>
      </c>
      <c r="G832" s="8"/>
      <c r="H832" s="8"/>
      <c r="I832" s="8"/>
    </row>
    <row r="833" spans="1:10" x14ac:dyDescent="0.25">
      <c r="A833" s="4" t="s">
        <v>1318</v>
      </c>
      <c r="B833" s="4" t="s">
        <v>1051</v>
      </c>
      <c r="C833" s="4" t="s">
        <v>77</v>
      </c>
      <c r="D833" s="16" t="s">
        <v>85</v>
      </c>
      <c r="E833" s="16" t="s">
        <v>1429</v>
      </c>
      <c r="F833" s="16" t="s">
        <v>534</v>
      </c>
      <c r="G833" s="8"/>
      <c r="H833" s="8"/>
      <c r="I833" s="8"/>
    </row>
    <row r="834" spans="1:10" x14ac:dyDescent="0.25">
      <c r="A834" s="4" t="s">
        <v>1318</v>
      </c>
      <c r="B834" s="4" t="s">
        <v>1051</v>
      </c>
      <c r="C834" s="4" t="s">
        <v>77</v>
      </c>
      <c r="D834" s="16" t="s">
        <v>994</v>
      </c>
      <c r="E834" s="16" t="s">
        <v>1462</v>
      </c>
      <c r="F834" s="16" t="s">
        <v>534</v>
      </c>
      <c r="G834" s="8"/>
      <c r="H834" s="8"/>
      <c r="I834" s="8"/>
      <c r="J834" t="b">
        <v>1</v>
      </c>
    </row>
    <row r="835" spans="1:10" x14ac:dyDescent="0.25">
      <c r="A835" s="4" t="s">
        <v>1318</v>
      </c>
      <c r="B835" s="4" t="s">
        <v>1051</v>
      </c>
      <c r="C835" s="4" t="s">
        <v>77</v>
      </c>
      <c r="D835" s="16" t="s">
        <v>86</v>
      </c>
      <c r="E835" s="16" t="s">
        <v>87</v>
      </c>
      <c r="F835" s="16" t="s">
        <v>534</v>
      </c>
      <c r="G835" s="8"/>
      <c r="H835" s="8"/>
      <c r="I835" s="8"/>
      <c r="J835" t="b">
        <v>1</v>
      </c>
    </row>
    <row r="836" spans="1:10" x14ac:dyDescent="0.25">
      <c r="A836" s="4" t="s">
        <v>1318</v>
      </c>
      <c r="B836" s="4" t="s">
        <v>1051</v>
      </c>
      <c r="C836" s="4" t="s">
        <v>77</v>
      </c>
      <c r="D836" s="16" t="s">
        <v>88</v>
      </c>
      <c r="E836" s="16" t="s">
        <v>1430</v>
      </c>
      <c r="F836" s="16" t="s">
        <v>534</v>
      </c>
      <c r="G836" s="8"/>
      <c r="H836" s="8"/>
      <c r="I836" s="8"/>
    </row>
    <row r="837" spans="1:10" x14ac:dyDescent="0.25">
      <c r="A837" s="4" t="s">
        <v>1318</v>
      </c>
      <c r="B837" s="4" t="s">
        <v>1051</v>
      </c>
      <c r="C837" s="4" t="s">
        <v>77</v>
      </c>
      <c r="D837" s="16" t="s">
        <v>99</v>
      </c>
      <c r="E837" s="16" t="s">
        <v>1432</v>
      </c>
      <c r="F837" s="16" t="s">
        <v>534</v>
      </c>
      <c r="G837" s="8"/>
      <c r="H837" s="8"/>
      <c r="I837" s="8"/>
    </row>
    <row r="838" spans="1:10" x14ac:dyDescent="0.25">
      <c r="A838" s="4" t="s">
        <v>1318</v>
      </c>
      <c r="B838" s="4" t="s">
        <v>1051</v>
      </c>
      <c r="C838" s="4" t="s">
        <v>77</v>
      </c>
      <c r="D838" s="16" t="s">
        <v>97</v>
      </c>
      <c r="E838" s="16" t="s">
        <v>1431</v>
      </c>
      <c r="F838" s="16" t="s">
        <v>534</v>
      </c>
      <c r="G838" s="8"/>
      <c r="H838" s="8"/>
      <c r="I838" s="8"/>
    </row>
    <row r="839" spans="1:10" x14ac:dyDescent="0.25">
      <c r="A839" s="4" t="s">
        <v>1318</v>
      </c>
      <c r="B839" s="4" t="s">
        <v>1051</v>
      </c>
      <c r="C839" s="4" t="s">
        <v>77</v>
      </c>
      <c r="D839" s="16" t="s">
        <v>25</v>
      </c>
      <c r="E839" s="16" t="s">
        <v>1437</v>
      </c>
      <c r="F839" s="16" t="s">
        <v>534</v>
      </c>
      <c r="G839" s="8"/>
      <c r="H839" s="8"/>
      <c r="I839" s="8"/>
    </row>
    <row r="840" spans="1:10" x14ac:dyDescent="0.25">
      <c r="A840" s="4" t="s">
        <v>1318</v>
      </c>
      <c r="B840" s="4" t="s">
        <v>1051</v>
      </c>
      <c r="C840" s="4" t="s">
        <v>77</v>
      </c>
      <c r="D840" s="16" t="s">
        <v>89</v>
      </c>
      <c r="E840" s="16" t="s">
        <v>1190</v>
      </c>
      <c r="G840" s="8"/>
      <c r="H840" s="8"/>
      <c r="I840" s="8"/>
    </row>
    <row r="841" spans="1:10" x14ac:dyDescent="0.25">
      <c r="A841" s="4" t="s">
        <v>1318</v>
      </c>
      <c r="B841" s="4" t="s">
        <v>1051</v>
      </c>
      <c r="C841" s="4" t="s">
        <v>77</v>
      </c>
      <c r="D841" s="16" t="s">
        <v>90</v>
      </c>
      <c r="E841" s="16" t="s">
        <v>1197</v>
      </c>
      <c r="G841" s="8"/>
      <c r="H841" s="8"/>
      <c r="I841" s="8"/>
    </row>
    <row r="842" spans="1:10" x14ac:dyDescent="0.25">
      <c r="A842" s="4" t="s">
        <v>1318</v>
      </c>
      <c r="B842" s="4" t="s">
        <v>1051</v>
      </c>
      <c r="C842" s="4" t="s">
        <v>77</v>
      </c>
      <c r="D842" s="16" t="s">
        <v>93</v>
      </c>
      <c r="E842" s="16" t="s">
        <v>1438</v>
      </c>
      <c r="G842" s="8"/>
      <c r="H842" s="8"/>
      <c r="I842" s="8"/>
    </row>
    <row r="843" spans="1:10" x14ac:dyDescent="0.25">
      <c r="A843" s="4" t="s">
        <v>1318</v>
      </c>
      <c r="B843" s="4" t="s">
        <v>1051</v>
      </c>
      <c r="C843" s="4" t="s">
        <v>77</v>
      </c>
      <c r="D843" s="16" t="s">
        <v>94</v>
      </c>
      <c r="E843" s="16" t="s">
        <v>361</v>
      </c>
      <c r="G843" s="8"/>
      <c r="H843" s="8"/>
      <c r="I843" s="8"/>
    </row>
    <row r="844" spans="1:10" ht="30" x14ac:dyDescent="0.25">
      <c r="A844" s="4" t="s">
        <v>1318</v>
      </c>
      <c r="B844" s="4" t="s">
        <v>1051</v>
      </c>
      <c r="C844" s="4" t="s">
        <v>95</v>
      </c>
      <c r="D844" s="16" t="str">
        <f t="shared" ref="D844:D845" si="2">I844&amp;".txt"</f>
        <v>01 Verification-Design (JH).txt</v>
      </c>
      <c r="E844" s="16"/>
      <c r="G844" s="16" t="s">
        <v>421</v>
      </c>
      <c r="H844" s="16" t="s">
        <v>1424</v>
      </c>
      <c r="I844" s="16" t="str">
        <f>VLOOKUP(A844&amp;G844&amp;H844,Views!$E$1:$F$145,2,FALSE)</f>
        <v>01 Verification-Design (JH)</v>
      </c>
    </row>
    <row r="845" spans="1:10" ht="45" x14ac:dyDescent="0.25">
      <c r="A845" s="4" t="s">
        <v>1318</v>
      </c>
      <c r="B845" s="4" t="s">
        <v>1051</v>
      </c>
      <c r="C845" s="4" t="s">
        <v>96</v>
      </c>
      <c r="D845" s="16" t="str">
        <f t="shared" si="2"/>
        <v>General Requirements View (JH).txt</v>
      </c>
      <c r="E845" s="16" t="s">
        <v>81</v>
      </c>
      <c r="F845" s="16" t="s">
        <v>534</v>
      </c>
      <c r="G845" s="16" t="s">
        <v>1420</v>
      </c>
      <c r="H845" s="16" t="s">
        <v>1428</v>
      </c>
      <c r="I845" s="16" t="str">
        <f>VLOOKUP(A845&amp;G845&amp;H845,Views!$E$1:$F$145,2,FALSE)</f>
        <v>General Requirements View (JH)</v>
      </c>
    </row>
    <row r="846" spans="1:10" x14ac:dyDescent="0.25">
      <c r="G846" s="8"/>
      <c r="H846" s="8"/>
      <c r="I846" s="8"/>
    </row>
    <row r="847" spans="1:10" x14ac:dyDescent="0.25">
      <c r="A847" s="4" t="s">
        <v>1318</v>
      </c>
      <c r="B847" s="4" t="s">
        <v>1389</v>
      </c>
      <c r="C847" s="4" t="s">
        <v>77</v>
      </c>
      <c r="D847" s="35" t="s">
        <v>912</v>
      </c>
      <c r="E847" s="35" t="s">
        <v>79</v>
      </c>
      <c r="F847" s="8"/>
      <c r="G847" s="8"/>
      <c r="H847" s="8"/>
      <c r="I847" s="8"/>
    </row>
    <row r="848" spans="1:10" x14ac:dyDescent="0.25">
      <c r="A848" s="4" t="s">
        <v>1318</v>
      </c>
      <c r="B848" s="4" t="s">
        <v>1389</v>
      </c>
      <c r="C848" s="4" t="s">
        <v>77</v>
      </c>
      <c r="D848" s="16" t="s">
        <v>477</v>
      </c>
      <c r="E848" s="16" t="s">
        <v>477</v>
      </c>
      <c r="G848" s="8"/>
      <c r="H848" s="8"/>
      <c r="I848" s="8"/>
    </row>
    <row r="849" spans="1:10" x14ac:dyDescent="0.25">
      <c r="A849" s="4" t="s">
        <v>1318</v>
      </c>
      <c r="B849" s="4" t="s">
        <v>1389</v>
      </c>
      <c r="C849" s="4" t="s">
        <v>77</v>
      </c>
      <c r="D849" s="16" t="s">
        <v>80</v>
      </c>
      <c r="E849" s="16" t="s">
        <v>81</v>
      </c>
      <c r="F849" s="8"/>
      <c r="G849" s="8"/>
      <c r="H849" s="8"/>
      <c r="I849" s="8"/>
    </row>
    <row r="850" spans="1:10" x14ac:dyDescent="0.25">
      <c r="A850" s="4" t="s">
        <v>1318</v>
      </c>
      <c r="B850" s="4" t="s">
        <v>1389</v>
      </c>
      <c r="C850" s="4" t="s">
        <v>77</v>
      </c>
      <c r="D850" s="16" t="s">
        <v>82</v>
      </c>
      <c r="E850" s="16" t="s">
        <v>79</v>
      </c>
      <c r="F850" s="16" t="s">
        <v>83</v>
      </c>
      <c r="G850" s="8"/>
      <c r="H850" s="8"/>
      <c r="I850" s="8"/>
    </row>
    <row r="851" spans="1:10" x14ac:dyDescent="0.25">
      <c r="A851" s="4" t="s">
        <v>1318</v>
      </c>
      <c r="B851" s="4" t="s">
        <v>1389</v>
      </c>
      <c r="C851" s="4" t="s">
        <v>77</v>
      </c>
      <c r="D851" s="16" t="s">
        <v>84</v>
      </c>
      <c r="E851" s="16" t="s">
        <v>81</v>
      </c>
      <c r="F851" s="16" t="s">
        <v>83</v>
      </c>
      <c r="G851" s="8"/>
      <c r="H851" s="8"/>
      <c r="I851" s="8"/>
    </row>
    <row r="852" spans="1:10" x14ac:dyDescent="0.25">
      <c r="A852" s="4" t="s">
        <v>1318</v>
      </c>
      <c r="B852" s="4" t="s">
        <v>1389</v>
      </c>
      <c r="C852" s="4" t="s">
        <v>77</v>
      </c>
      <c r="D852" s="16" t="s">
        <v>994</v>
      </c>
      <c r="E852" s="16" t="s">
        <v>1462</v>
      </c>
      <c r="F852" s="16" t="s">
        <v>534</v>
      </c>
      <c r="G852" s="8"/>
      <c r="H852" s="8"/>
      <c r="I852" s="8"/>
      <c r="J852" t="b">
        <v>1</v>
      </c>
    </row>
    <row r="853" spans="1:10" x14ac:dyDescent="0.25">
      <c r="A853" s="4" t="s">
        <v>1318</v>
      </c>
      <c r="B853" s="4" t="s">
        <v>1389</v>
      </c>
      <c r="C853" s="4" t="s">
        <v>77</v>
      </c>
      <c r="D853" s="16" t="s">
        <v>86</v>
      </c>
      <c r="E853" s="16" t="s">
        <v>87</v>
      </c>
      <c r="F853" s="16" t="s">
        <v>534</v>
      </c>
      <c r="G853" s="8"/>
      <c r="H853" s="8"/>
      <c r="I853" s="8"/>
      <c r="J853" t="b">
        <v>1</v>
      </c>
    </row>
    <row r="854" spans="1:10" x14ac:dyDescent="0.25">
      <c r="A854" s="4" t="s">
        <v>1318</v>
      </c>
      <c r="B854" s="4" t="s">
        <v>1389</v>
      </c>
      <c r="C854" s="4" t="s">
        <v>77</v>
      </c>
      <c r="D854" s="16" t="s">
        <v>88</v>
      </c>
      <c r="E854" s="16" t="s">
        <v>88</v>
      </c>
      <c r="F854" s="16" t="s">
        <v>83</v>
      </c>
      <c r="G854" s="8"/>
      <c r="H854" s="8"/>
      <c r="I854" s="8"/>
    </row>
    <row r="855" spans="1:10" x14ac:dyDescent="0.25">
      <c r="A855" s="4" t="s">
        <v>1318</v>
      </c>
      <c r="B855" s="4" t="s">
        <v>1389</v>
      </c>
      <c r="C855" s="4" t="s">
        <v>77</v>
      </c>
      <c r="D855" s="16" t="s">
        <v>97</v>
      </c>
      <c r="E855" s="16" t="s">
        <v>98</v>
      </c>
      <c r="F855" s="16" t="s">
        <v>83</v>
      </c>
      <c r="G855" s="8"/>
      <c r="H855" s="8"/>
      <c r="I855" s="8"/>
    </row>
    <row r="856" spans="1:10" x14ac:dyDescent="0.25">
      <c r="A856" s="4" t="s">
        <v>1318</v>
      </c>
      <c r="B856" s="4" t="s">
        <v>1389</v>
      </c>
      <c r="C856" s="4" t="s">
        <v>77</v>
      </c>
      <c r="D856" s="16" t="s">
        <v>913</v>
      </c>
      <c r="E856" s="16" t="s">
        <v>913</v>
      </c>
      <c r="F856" s="8"/>
      <c r="G856" s="8"/>
      <c r="H856" s="8"/>
      <c r="I856" s="8"/>
    </row>
    <row r="857" spans="1:10" x14ac:dyDescent="0.25">
      <c r="A857" s="4" t="s">
        <v>1318</v>
      </c>
      <c r="B857" s="4" t="s">
        <v>1389</v>
      </c>
      <c r="C857" s="4" t="s">
        <v>77</v>
      </c>
      <c r="D857" s="16" t="s">
        <v>914</v>
      </c>
      <c r="E857" s="16" t="s">
        <v>914</v>
      </c>
      <c r="F857" s="8"/>
      <c r="G857" s="8"/>
      <c r="H857" s="8"/>
      <c r="I857" s="8"/>
    </row>
    <row r="858" spans="1:10" x14ac:dyDescent="0.25">
      <c r="A858" s="4" t="s">
        <v>1318</v>
      </c>
      <c r="B858" s="4" t="s">
        <v>1389</v>
      </c>
      <c r="C858" s="4" t="s">
        <v>77</v>
      </c>
      <c r="D858" s="16" t="s">
        <v>801</v>
      </c>
      <c r="E858" s="16" t="s">
        <v>801</v>
      </c>
      <c r="F858" s="8"/>
      <c r="G858" s="8"/>
      <c r="H858" s="8"/>
      <c r="I858" s="8"/>
    </row>
    <row r="859" spans="1:10" ht="30" x14ac:dyDescent="0.25">
      <c r="A859" s="4" t="s">
        <v>1318</v>
      </c>
      <c r="B859" s="4" t="s">
        <v>1389</v>
      </c>
      <c r="C859" s="4" t="s">
        <v>95</v>
      </c>
      <c r="D859" s="16" t="str">
        <f>I859&amp;".txt"</f>
        <v>02 Verification-Process (JH).txt</v>
      </c>
      <c r="E859" s="47"/>
      <c r="F859" s="47"/>
      <c r="G859" s="16" t="s">
        <v>421</v>
      </c>
      <c r="H859" s="16" t="s">
        <v>1426</v>
      </c>
      <c r="I859" s="16" t="str">
        <f>VLOOKUP(A859&amp;G859&amp;H859,Views!$E$1:$F$145,2,FALSE)</f>
        <v>02 Verification-Process (JH)</v>
      </c>
    </row>
    <row r="860" spans="1:10" ht="45" x14ac:dyDescent="0.25">
      <c r="A860" s="4" t="s">
        <v>1318</v>
      </c>
      <c r="B860" s="4" t="s">
        <v>1389</v>
      </c>
      <c r="C860" s="4" t="s">
        <v>96</v>
      </c>
      <c r="D860" s="16" t="str">
        <f>I860&amp;".txt"</f>
        <v>General Requirements View (JH).txt</v>
      </c>
      <c r="E860" s="16" t="s">
        <v>81</v>
      </c>
      <c r="F860" s="16" t="s">
        <v>534</v>
      </c>
      <c r="G860" s="16" t="s">
        <v>1420</v>
      </c>
      <c r="H860" s="16" t="s">
        <v>1428</v>
      </c>
      <c r="I860" s="16" t="str">
        <f>VLOOKUP(A860&amp;G860&amp;H860,Views!$E$1:$F$145,2,FALSE)</f>
        <v>General Requirements View (JH)</v>
      </c>
    </row>
    <row r="861" spans="1:10" x14ac:dyDescent="0.25">
      <c r="G861" s="8"/>
      <c r="H861" s="8"/>
      <c r="I861" s="8"/>
    </row>
    <row r="862" spans="1:10" ht="15.75" x14ac:dyDescent="0.25">
      <c r="A862" s="4" t="s">
        <v>1318</v>
      </c>
      <c r="B862" s="4" t="s">
        <v>1458</v>
      </c>
      <c r="C862" s="4" t="s">
        <v>77</v>
      </c>
      <c r="D862" s="87" t="s">
        <v>477</v>
      </c>
      <c r="E862" s="87" t="s">
        <v>477</v>
      </c>
      <c r="I862" s="8"/>
    </row>
    <row r="863" spans="1:10" ht="15.75" x14ac:dyDescent="0.25">
      <c r="A863" s="4" t="s">
        <v>1318</v>
      </c>
      <c r="B863" s="4" t="s">
        <v>1458</v>
      </c>
      <c r="C863" s="4" t="s">
        <v>77</v>
      </c>
      <c r="D863" s="87" t="s">
        <v>1452</v>
      </c>
      <c r="E863" s="87" t="s">
        <v>79</v>
      </c>
      <c r="F863" s="3"/>
      <c r="G863" s="8"/>
      <c r="H863" s="8"/>
      <c r="I863" s="8"/>
    </row>
    <row r="864" spans="1:10" ht="15.75" x14ac:dyDescent="0.25">
      <c r="A864" s="4" t="s">
        <v>1318</v>
      </c>
      <c r="B864" s="4" t="s">
        <v>1458</v>
      </c>
      <c r="C864" s="4" t="s">
        <v>77</v>
      </c>
      <c r="D864" s="87" t="s">
        <v>1329</v>
      </c>
      <c r="E864" s="87" t="s">
        <v>81</v>
      </c>
      <c r="I864" s="8"/>
    </row>
    <row r="865" spans="1:10" ht="15.75" x14ac:dyDescent="0.25">
      <c r="A865" s="4" t="s">
        <v>1318</v>
      </c>
      <c r="B865" s="4" t="s">
        <v>1458</v>
      </c>
      <c r="C865" s="4" t="s">
        <v>77</v>
      </c>
      <c r="D865" s="87" t="s">
        <v>1330</v>
      </c>
      <c r="E865" s="87" t="s">
        <v>87</v>
      </c>
      <c r="I865" s="8"/>
      <c r="J865" t="b">
        <v>1</v>
      </c>
    </row>
    <row r="866" spans="1:10" ht="15.75" x14ac:dyDescent="0.25">
      <c r="A866" s="4" t="s">
        <v>1318</v>
      </c>
      <c r="B866" s="4" t="s">
        <v>1458</v>
      </c>
      <c r="C866" s="4" t="s">
        <v>77</v>
      </c>
      <c r="D866" s="87" t="s">
        <v>381</v>
      </c>
      <c r="E866" s="87" t="s">
        <v>381</v>
      </c>
      <c r="I866" s="8"/>
    </row>
    <row r="867" spans="1:10" ht="15.75" x14ac:dyDescent="0.25">
      <c r="A867" s="4" t="s">
        <v>1318</v>
      </c>
      <c r="B867" s="4" t="s">
        <v>1458</v>
      </c>
      <c r="C867" s="4" t="s">
        <v>77</v>
      </c>
      <c r="D867" s="87" t="s">
        <v>1331</v>
      </c>
      <c r="E867" s="87" t="s">
        <v>1331</v>
      </c>
      <c r="I867" s="8"/>
    </row>
    <row r="868" spans="1:10" ht="15.75" x14ac:dyDescent="0.25">
      <c r="A868" s="4" t="s">
        <v>1318</v>
      </c>
      <c r="B868" s="4" t="s">
        <v>1458</v>
      </c>
      <c r="C868" s="4" t="s">
        <v>77</v>
      </c>
      <c r="D868" s="87" t="s">
        <v>1332</v>
      </c>
      <c r="E868" s="87" t="s">
        <v>1332</v>
      </c>
      <c r="I868" s="8"/>
    </row>
    <row r="869" spans="1:10" ht="30" x14ac:dyDescent="0.25">
      <c r="A869" s="4" t="s">
        <v>1318</v>
      </c>
      <c r="B869" s="4" t="s">
        <v>1458</v>
      </c>
      <c r="C869" s="4" t="s">
        <v>95</v>
      </c>
      <c r="D869" s="16" t="str">
        <f t="shared" ref="D869" si="3">I869&amp;".txt"</f>
        <v>PSR.txt</v>
      </c>
      <c r="E869" s="16" t="s">
        <v>81</v>
      </c>
      <c r="F869" s="16"/>
      <c r="G869" s="16" t="s">
        <v>1175</v>
      </c>
      <c r="H869" s="16" t="s">
        <v>1452</v>
      </c>
      <c r="I869" s="16" t="str">
        <f>VLOOKUP(A869&amp;G869&amp;H869,Views!$E$1:$F$149,2,FALSE)</f>
        <v>PSR</v>
      </c>
    </row>
    <row r="870" spans="1:10" x14ac:dyDescent="0.25">
      <c r="A870" s="4"/>
      <c r="B870" s="4"/>
      <c r="C870" s="4"/>
      <c r="D870" s="4"/>
      <c r="E870" s="8"/>
      <c r="F870" s="8"/>
      <c r="G870" s="8"/>
      <c r="H870" s="8"/>
      <c r="I870" s="8"/>
    </row>
    <row r="871" spans="1:10" ht="15.75" x14ac:dyDescent="0.25">
      <c r="A871" s="4" t="s">
        <v>1318</v>
      </c>
      <c r="B871" s="4" t="s">
        <v>1457</v>
      </c>
      <c r="C871" s="4" t="s">
        <v>77</v>
      </c>
      <c r="D871" s="87" t="s">
        <v>1329</v>
      </c>
      <c r="E871" s="87" t="s">
        <v>81</v>
      </c>
      <c r="F871" s="16" t="s">
        <v>534</v>
      </c>
      <c r="I871" s="8"/>
    </row>
    <row r="872" spans="1:10" ht="15.75" x14ac:dyDescent="0.25">
      <c r="A872" s="4" t="s">
        <v>1318</v>
      </c>
      <c r="B872" s="4" t="s">
        <v>1457</v>
      </c>
      <c r="C872" s="4" t="s">
        <v>77</v>
      </c>
      <c r="D872" s="87" t="s">
        <v>1330</v>
      </c>
      <c r="E872" s="87" t="s">
        <v>87</v>
      </c>
      <c r="F872" s="16" t="s">
        <v>534</v>
      </c>
      <c r="I872" s="8"/>
      <c r="J872" t="b">
        <v>1</v>
      </c>
    </row>
    <row r="873" spans="1:10" ht="15.75" x14ac:dyDescent="0.25">
      <c r="A873" s="4" t="s">
        <v>1318</v>
      </c>
      <c r="B873" s="4" t="s">
        <v>1457</v>
      </c>
      <c r="C873" s="4" t="s">
        <v>77</v>
      </c>
      <c r="D873" s="87" t="s">
        <v>381</v>
      </c>
      <c r="E873" s="87" t="s">
        <v>381</v>
      </c>
      <c r="F873" s="16" t="s">
        <v>534</v>
      </c>
      <c r="I873" s="8"/>
    </row>
    <row r="874" spans="1:10" ht="15.75" x14ac:dyDescent="0.25">
      <c r="A874" s="4" t="s">
        <v>1318</v>
      </c>
      <c r="B874" s="4" t="s">
        <v>1457</v>
      </c>
      <c r="C874" s="4" t="s">
        <v>77</v>
      </c>
      <c r="D874" s="87" t="s">
        <v>1331</v>
      </c>
      <c r="E874" s="87" t="s">
        <v>1331</v>
      </c>
      <c r="F874" s="16" t="s">
        <v>534</v>
      </c>
      <c r="I874" s="8"/>
    </row>
    <row r="875" spans="1:10" ht="15.75" x14ac:dyDescent="0.25">
      <c r="A875" s="4" t="s">
        <v>1318</v>
      </c>
      <c r="B875" s="4" t="s">
        <v>1457</v>
      </c>
      <c r="C875" s="4" t="s">
        <v>77</v>
      </c>
      <c r="D875" s="87" t="s">
        <v>1332</v>
      </c>
      <c r="E875" s="87" t="s">
        <v>1332</v>
      </c>
      <c r="F875" s="16" t="s">
        <v>534</v>
      </c>
      <c r="I875" s="8"/>
    </row>
    <row r="876" spans="1:10" ht="15.75" x14ac:dyDescent="0.25">
      <c r="A876" s="4" t="s">
        <v>1318</v>
      </c>
      <c r="B876" s="4" t="s">
        <v>1457</v>
      </c>
      <c r="C876" s="4" t="s">
        <v>77</v>
      </c>
      <c r="D876" s="88" t="s">
        <v>477</v>
      </c>
      <c r="E876" s="88" t="s">
        <v>477</v>
      </c>
      <c r="I876" s="8"/>
    </row>
    <row r="877" spans="1:10" ht="15.75" x14ac:dyDescent="0.25">
      <c r="A877" s="4" t="s">
        <v>1318</v>
      </c>
      <c r="B877" s="4" t="s">
        <v>1457</v>
      </c>
      <c r="C877" s="4" t="s">
        <v>77</v>
      </c>
      <c r="D877" s="88" t="s">
        <v>1179</v>
      </c>
      <c r="E877" s="88" t="s">
        <v>79</v>
      </c>
      <c r="F877" s="3"/>
      <c r="G877" s="8"/>
      <c r="H877" s="8"/>
      <c r="I877" s="8"/>
    </row>
    <row r="878" spans="1:10" ht="15.75" x14ac:dyDescent="0.25">
      <c r="A878" s="4" t="s">
        <v>1318</v>
      </c>
      <c r="B878" s="4" t="s">
        <v>1457</v>
      </c>
      <c r="C878" s="4" t="s">
        <v>77</v>
      </c>
      <c r="D878" s="88" t="s">
        <v>1336</v>
      </c>
      <c r="E878" s="88" t="s">
        <v>1459</v>
      </c>
      <c r="F878" s="16" t="s">
        <v>1178</v>
      </c>
      <c r="I878" s="8"/>
    </row>
    <row r="879" spans="1:10" ht="15.75" x14ac:dyDescent="0.25">
      <c r="A879" s="4" t="s">
        <v>1318</v>
      </c>
      <c r="B879" s="4" t="s">
        <v>1457</v>
      </c>
      <c r="C879" s="4" t="s">
        <v>77</v>
      </c>
      <c r="D879" s="88" t="s">
        <v>1337</v>
      </c>
      <c r="E879" s="88" t="s">
        <v>1337</v>
      </c>
      <c r="F879" s="16" t="s">
        <v>1178</v>
      </c>
      <c r="I879" s="8"/>
    </row>
    <row r="880" spans="1:10" ht="15.75" x14ac:dyDescent="0.25">
      <c r="A880" s="4" t="s">
        <v>1318</v>
      </c>
      <c r="B880" s="4" t="s">
        <v>1457</v>
      </c>
      <c r="C880" s="4" t="s">
        <v>77</v>
      </c>
      <c r="D880" s="88" t="s">
        <v>1365</v>
      </c>
      <c r="E880" s="88" t="s">
        <v>1436</v>
      </c>
      <c r="I880" s="8"/>
    </row>
    <row r="881" spans="1:10" ht="15.75" x14ac:dyDescent="0.25">
      <c r="A881" s="4" t="s">
        <v>1318</v>
      </c>
      <c r="B881" s="4" t="s">
        <v>1457</v>
      </c>
      <c r="C881" s="4" t="s">
        <v>77</v>
      </c>
      <c r="D881" s="88" t="s">
        <v>1333</v>
      </c>
      <c r="E881" s="88" t="s">
        <v>81</v>
      </c>
      <c r="I881" s="8"/>
    </row>
    <row r="882" spans="1:10" ht="15.75" x14ac:dyDescent="0.25">
      <c r="A882" s="4" t="s">
        <v>1318</v>
      </c>
      <c r="B882" s="4" t="s">
        <v>1457</v>
      </c>
      <c r="C882" s="4" t="s">
        <v>77</v>
      </c>
      <c r="D882" s="88" t="s">
        <v>1334</v>
      </c>
      <c r="E882" s="88" t="s">
        <v>87</v>
      </c>
      <c r="I882" s="8"/>
      <c r="J882" t="b">
        <v>1</v>
      </c>
    </row>
    <row r="883" spans="1:10" ht="15.75" x14ac:dyDescent="0.25">
      <c r="A883" s="4" t="s">
        <v>1318</v>
      </c>
      <c r="B883" s="4" t="s">
        <v>1457</v>
      </c>
      <c r="C883" s="4" t="s">
        <v>77</v>
      </c>
      <c r="D883" s="88" t="s">
        <v>1460</v>
      </c>
      <c r="E883" s="88" t="s">
        <v>1430</v>
      </c>
      <c r="I883" s="8"/>
    </row>
    <row r="884" spans="1:10" ht="15.75" x14ac:dyDescent="0.25">
      <c r="A884" s="4" t="s">
        <v>1318</v>
      </c>
      <c r="B884" s="4" t="s">
        <v>1457</v>
      </c>
      <c r="C884" s="4" t="s">
        <v>77</v>
      </c>
      <c r="D884" s="88" t="s">
        <v>1335</v>
      </c>
      <c r="E884" s="88" t="s">
        <v>333</v>
      </c>
      <c r="I884" s="8"/>
    </row>
    <row r="885" spans="1:10" ht="15.75" x14ac:dyDescent="0.25">
      <c r="A885" s="4" t="s">
        <v>1318</v>
      </c>
      <c r="B885" s="4" t="s">
        <v>1457</v>
      </c>
      <c r="C885" s="4" t="s">
        <v>77</v>
      </c>
      <c r="D885" s="88" t="s">
        <v>107</v>
      </c>
      <c r="E885" s="88" t="s">
        <v>107</v>
      </c>
      <c r="I885" s="8"/>
    </row>
    <row r="886" spans="1:10" x14ac:dyDescent="0.25">
      <c r="A886" s="4" t="s">
        <v>1318</v>
      </c>
      <c r="B886" s="4" t="s">
        <v>1457</v>
      </c>
      <c r="C886" s="4" t="s">
        <v>95</v>
      </c>
      <c r="D886" s="16" t="str">
        <f>I886&amp;".txt"</f>
        <v>SSRS.txt</v>
      </c>
      <c r="E886" s="16" t="s">
        <v>81</v>
      </c>
      <c r="G886" s="16" t="s">
        <v>1420</v>
      </c>
      <c r="H886" s="16" t="s">
        <v>1179</v>
      </c>
      <c r="I886" s="16" t="str">
        <f>VLOOKUP(A886&amp;G886&amp;H886,Views!$E$1:$F$149,2,FALSE)</f>
        <v>SSRS</v>
      </c>
    </row>
    <row r="887" spans="1:10" ht="30" x14ac:dyDescent="0.25">
      <c r="A887" s="4" t="s">
        <v>1318</v>
      </c>
      <c r="B887" s="4" t="s">
        <v>1457</v>
      </c>
      <c r="C887" s="4" t="s">
        <v>96</v>
      </c>
      <c r="D887" s="16" t="str">
        <f t="shared" ref="D887:D888" si="4">I887&amp;".txt"</f>
        <v>PSR.txt</v>
      </c>
      <c r="E887" s="16" t="s">
        <v>81</v>
      </c>
      <c r="F887" s="16" t="s">
        <v>534</v>
      </c>
      <c r="G887" s="16" t="s">
        <v>1175</v>
      </c>
      <c r="H887" s="16" t="s">
        <v>1452</v>
      </c>
      <c r="I887" s="16" t="str">
        <f>VLOOKUP(A887&amp;G887&amp;H887,Views!$E$1:$F$149,2,FALSE)</f>
        <v>PSR</v>
      </c>
    </row>
    <row r="888" spans="1:10" x14ac:dyDescent="0.25">
      <c r="A888" s="4" t="s">
        <v>1318</v>
      </c>
      <c r="B888" s="4" t="s">
        <v>1457</v>
      </c>
      <c r="C888" s="4" t="s">
        <v>96</v>
      </c>
      <c r="D888" s="16" t="str">
        <f t="shared" si="4"/>
        <v>Verification.txt</v>
      </c>
      <c r="E888" s="16" t="s">
        <v>81</v>
      </c>
      <c r="F888" s="16" t="s">
        <v>1178</v>
      </c>
      <c r="G888" s="16" t="s">
        <v>421</v>
      </c>
      <c r="H888" s="16" t="s">
        <v>422</v>
      </c>
      <c r="I888" s="16" t="str">
        <f>VLOOKUP(A888&amp;G888&amp;H888,Views!$E$1:$F$149,2,FALSE)</f>
        <v>Verification</v>
      </c>
    </row>
    <row r="889" spans="1:10" x14ac:dyDescent="0.25">
      <c r="A889" s="4"/>
      <c r="B889" s="4"/>
      <c r="C889" s="4"/>
      <c r="D889" s="4"/>
      <c r="E889" s="8"/>
      <c r="F889" s="8"/>
      <c r="G889" s="8"/>
      <c r="H889" s="8"/>
      <c r="I889" s="8"/>
    </row>
    <row r="890" spans="1:10" ht="15.75" x14ac:dyDescent="0.25">
      <c r="A890" s="4" t="s">
        <v>1318</v>
      </c>
      <c r="B890" s="4" t="s">
        <v>1343</v>
      </c>
      <c r="C890" s="4" t="s">
        <v>77</v>
      </c>
      <c r="D890" s="87" t="s">
        <v>1329</v>
      </c>
      <c r="E890" s="87" t="s">
        <v>1349</v>
      </c>
      <c r="F890" s="16" t="s">
        <v>1456</v>
      </c>
      <c r="I890" s="8"/>
    </row>
    <row r="891" spans="1:10" ht="15.75" x14ac:dyDescent="0.25">
      <c r="A891" s="4" t="s">
        <v>1318</v>
      </c>
      <c r="B891" s="4" t="s">
        <v>1343</v>
      </c>
      <c r="C891" s="4" t="s">
        <v>77</v>
      </c>
      <c r="D891" s="87" t="s">
        <v>1330</v>
      </c>
      <c r="E891" s="87" t="s">
        <v>1350</v>
      </c>
      <c r="F891" s="16" t="s">
        <v>1456</v>
      </c>
      <c r="I891" s="8"/>
    </row>
    <row r="892" spans="1:10" ht="15.75" x14ac:dyDescent="0.25">
      <c r="A892" s="4" t="s">
        <v>1318</v>
      </c>
      <c r="B892" s="4" t="s">
        <v>1343</v>
      </c>
      <c r="C892" s="4" t="s">
        <v>77</v>
      </c>
      <c r="D892" s="87" t="s">
        <v>381</v>
      </c>
      <c r="E892" s="87" t="s">
        <v>1469</v>
      </c>
      <c r="F892" s="16" t="s">
        <v>1456</v>
      </c>
      <c r="I892" s="8"/>
    </row>
    <row r="893" spans="1:10" ht="15.75" x14ac:dyDescent="0.25">
      <c r="A893" s="4" t="s">
        <v>1318</v>
      </c>
      <c r="B893" s="4" t="s">
        <v>1343</v>
      </c>
      <c r="C893" s="4" t="s">
        <v>77</v>
      </c>
      <c r="D893" s="87" t="s">
        <v>1331</v>
      </c>
      <c r="E893" s="87" t="s">
        <v>1351</v>
      </c>
      <c r="F893" s="16" t="s">
        <v>1456</v>
      </c>
      <c r="I893" s="8"/>
    </row>
    <row r="894" spans="1:10" ht="15.75" x14ac:dyDescent="0.25">
      <c r="A894" s="4" t="s">
        <v>1318</v>
      </c>
      <c r="B894" s="4" t="s">
        <v>1343</v>
      </c>
      <c r="C894" s="4" t="s">
        <v>77</v>
      </c>
      <c r="D894" s="87" t="s">
        <v>1332</v>
      </c>
      <c r="E894" s="87" t="s">
        <v>1352</v>
      </c>
      <c r="F894" s="16" t="s">
        <v>1456</v>
      </c>
      <c r="I894" s="8"/>
    </row>
    <row r="895" spans="1:10" ht="15.75" x14ac:dyDescent="0.25">
      <c r="A895" s="4" t="s">
        <v>1318</v>
      </c>
      <c r="B895" s="4" t="s">
        <v>1343</v>
      </c>
      <c r="C895" s="4" t="s">
        <v>77</v>
      </c>
      <c r="D895" s="88" t="s">
        <v>477</v>
      </c>
      <c r="E895" s="88" t="s">
        <v>477</v>
      </c>
      <c r="I895" s="8"/>
    </row>
    <row r="896" spans="1:10" ht="15.75" x14ac:dyDescent="0.25">
      <c r="A896" s="4" t="s">
        <v>1318</v>
      </c>
      <c r="B896" s="4" t="s">
        <v>1343</v>
      </c>
      <c r="C896" s="4" t="s">
        <v>77</v>
      </c>
      <c r="D896" s="88" t="s">
        <v>1336</v>
      </c>
      <c r="E896" s="88" t="s">
        <v>79</v>
      </c>
      <c r="I896" s="8"/>
    </row>
    <row r="897" spans="1:10" ht="15.75" x14ac:dyDescent="0.25">
      <c r="A897" s="4" t="s">
        <v>1318</v>
      </c>
      <c r="B897" s="4" t="s">
        <v>1343</v>
      </c>
      <c r="C897" s="4" t="s">
        <v>77</v>
      </c>
      <c r="D897" s="88" t="s">
        <v>1337</v>
      </c>
      <c r="E897" s="88" t="s">
        <v>1337</v>
      </c>
      <c r="I897" s="8"/>
    </row>
    <row r="898" spans="1:10" ht="15.75" x14ac:dyDescent="0.25">
      <c r="A898" s="4" t="s">
        <v>1318</v>
      </c>
      <c r="B898" s="4" t="s">
        <v>1343</v>
      </c>
      <c r="C898" s="4" t="s">
        <v>77</v>
      </c>
      <c r="D898" s="88" t="s">
        <v>1333</v>
      </c>
      <c r="E898" s="88" t="s">
        <v>81</v>
      </c>
      <c r="F898" s="16" t="s">
        <v>534</v>
      </c>
      <c r="I898" s="8"/>
    </row>
    <row r="899" spans="1:10" ht="15.75" x14ac:dyDescent="0.25">
      <c r="A899" s="4" t="s">
        <v>1318</v>
      </c>
      <c r="B899" s="4" t="s">
        <v>1343</v>
      </c>
      <c r="C899" s="4" t="s">
        <v>77</v>
      </c>
      <c r="D899" s="88" t="s">
        <v>1365</v>
      </c>
      <c r="E899" s="88" t="s">
        <v>1436</v>
      </c>
      <c r="F899" s="16" t="s">
        <v>534</v>
      </c>
      <c r="I899" s="8"/>
    </row>
    <row r="900" spans="1:10" ht="15.75" x14ac:dyDescent="0.25">
      <c r="A900" s="4" t="s">
        <v>1318</v>
      </c>
      <c r="B900" s="4" t="s">
        <v>1343</v>
      </c>
      <c r="C900" s="4" t="s">
        <v>77</v>
      </c>
      <c r="D900" s="88" t="s">
        <v>1454</v>
      </c>
      <c r="E900" s="88" t="s">
        <v>1462</v>
      </c>
      <c r="F900" s="16" t="s">
        <v>534</v>
      </c>
      <c r="I900" s="8"/>
      <c r="J900" t="b">
        <v>1</v>
      </c>
    </row>
    <row r="901" spans="1:10" ht="15.75" x14ac:dyDescent="0.25">
      <c r="A901" s="4" t="s">
        <v>1318</v>
      </c>
      <c r="B901" s="4" t="s">
        <v>1343</v>
      </c>
      <c r="C901" s="4" t="s">
        <v>77</v>
      </c>
      <c r="D901" s="88" t="s">
        <v>1334</v>
      </c>
      <c r="E901" s="88" t="s">
        <v>87</v>
      </c>
      <c r="F901" s="16" t="s">
        <v>534</v>
      </c>
      <c r="I901" s="8"/>
      <c r="J901" t="b">
        <v>1</v>
      </c>
    </row>
    <row r="902" spans="1:10" ht="15.75" x14ac:dyDescent="0.25">
      <c r="A902" s="4" t="s">
        <v>1318</v>
      </c>
      <c r="B902" s="4" t="s">
        <v>1343</v>
      </c>
      <c r="C902" s="4" t="s">
        <v>77</v>
      </c>
      <c r="D902" s="88" t="s">
        <v>1460</v>
      </c>
      <c r="E902" s="88" t="s">
        <v>1430</v>
      </c>
      <c r="F902" s="16" t="s">
        <v>534</v>
      </c>
      <c r="I902" s="8"/>
    </row>
    <row r="903" spans="1:10" ht="15.75" x14ac:dyDescent="0.25">
      <c r="A903" s="4" t="s">
        <v>1318</v>
      </c>
      <c r="B903" s="4" t="s">
        <v>1343</v>
      </c>
      <c r="C903" s="4" t="s">
        <v>77</v>
      </c>
      <c r="D903" s="88" t="s">
        <v>1335</v>
      </c>
      <c r="E903" s="88" t="s">
        <v>1437</v>
      </c>
      <c r="F903" s="16" t="s">
        <v>534</v>
      </c>
      <c r="I903" s="8"/>
    </row>
    <row r="904" spans="1:10" ht="15.75" x14ac:dyDescent="0.25">
      <c r="A904" s="4" t="s">
        <v>1318</v>
      </c>
      <c r="B904" s="4" t="s">
        <v>1343</v>
      </c>
      <c r="C904" s="4" t="s">
        <v>77</v>
      </c>
      <c r="D904" s="88" t="s">
        <v>107</v>
      </c>
      <c r="E904" s="88" t="s">
        <v>107</v>
      </c>
      <c r="F904" s="16" t="s">
        <v>534</v>
      </c>
      <c r="I904" s="8"/>
    </row>
    <row r="905" spans="1:10" ht="15.75" x14ac:dyDescent="0.25">
      <c r="A905" s="4" t="s">
        <v>1318</v>
      </c>
      <c r="B905" s="4" t="s">
        <v>1343</v>
      </c>
      <c r="C905" s="4" t="s">
        <v>77</v>
      </c>
      <c r="D905" s="89" t="s">
        <v>1366</v>
      </c>
      <c r="E905" s="89" t="s">
        <v>1436</v>
      </c>
      <c r="I905" s="8"/>
    </row>
    <row r="906" spans="1:10" ht="15.75" x14ac:dyDescent="0.25">
      <c r="A906" s="4" t="s">
        <v>1318</v>
      </c>
      <c r="B906" s="4" t="s">
        <v>1343</v>
      </c>
      <c r="C906" s="4" t="s">
        <v>77</v>
      </c>
      <c r="D906" s="89" t="s">
        <v>1344</v>
      </c>
      <c r="E906" s="89" t="s">
        <v>81</v>
      </c>
      <c r="I906" s="8"/>
    </row>
    <row r="907" spans="1:10" ht="15.75" x14ac:dyDescent="0.25">
      <c r="A907" s="4" t="s">
        <v>1318</v>
      </c>
      <c r="B907" s="4" t="s">
        <v>1343</v>
      </c>
      <c r="C907" s="4" t="s">
        <v>77</v>
      </c>
      <c r="D907" s="89" t="s">
        <v>87</v>
      </c>
      <c r="E907" s="89" t="s">
        <v>87</v>
      </c>
      <c r="I907" s="8"/>
    </row>
    <row r="908" spans="1:10" ht="15.75" x14ac:dyDescent="0.25">
      <c r="A908" s="4" t="s">
        <v>1318</v>
      </c>
      <c r="B908" s="4" t="s">
        <v>1343</v>
      </c>
      <c r="C908" s="4" t="s">
        <v>77</v>
      </c>
      <c r="D908" s="89" t="s">
        <v>1346</v>
      </c>
      <c r="E908" s="89" t="s">
        <v>1190</v>
      </c>
      <c r="G908" s="8"/>
      <c r="H908" s="8"/>
      <c r="I908" s="8"/>
    </row>
    <row r="909" spans="1:10" ht="15.75" x14ac:dyDescent="0.25">
      <c r="A909" s="4" t="s">
        <v>1318</v>
      </c>
      <c r="B909" s="4" t="s">
        <v>1343</v>
      </c>
      <c r="C909" s="4" t="s">
        <v>77</v>
      </c>
      <c r="D909" s="89" t="s">
        <v>1197</v>
      </c>
      <c r="E909" s="89" t="s">
        <v>1197</v>
      </c>
      <c r="G909" s="8"/>
      <c r="H909" s="8"/>
      <c r="I909" s="8"/>
    </row>
    <row r="910" spans="1:10" ht="15.75" x14ac:dyDescent="0.25">
      <c r="A910" s="4" t="s">
        <v>1318</v>
      </c>
      <c r="B910" s="4" t="s">
        <v>1343</v>
      </c>
      <c r="C910" s="4" t="s">
        <v>77</v>
      </c>
      <c r="D910" s="89" t="s">
        <v>1193</v>
      </c>
      <c r="E910" s="89" t="s">
        <v>1193</v>
      </c>
      <c r="G910" s="8"/>
      <c r="H910" s="8"/>
      <c r="I910" s="8"/>
    </row>
    <row r="911" spans="1:10" ht="15.75" x14ac:dyDescent="0.25">
      <c r="A911" s="4" t="s">
        <v>1318</v>
      </c>
      <c r="B911" s="4" t="s">
        <v>1343</v>
      </c>
      <c r="C911" s="4" t="s">
        <v>77</v>
      </c>
      <c r="D911" s="89" t="s">
        <v>361</v>
      </c>
      <c r="E911" s="89" t="s">
        <v>361</v>
      </c>
      <c r="G911" s="8"/>
      <c r="H911" s="8"/>
      <c r="I911" s="8"/>
    </row>
    <row r="912" spans="1:10" ht="15.75" x14ac:dyDescent="0.25">
      <c r="A912" s="4" t="s">
        <v>1318</v>
      </c>
      <c r="B912" s="4" t="s">
        <v>1343</v>
      </c>
      <c r="C912" s="4" t="s">
        <v>77</v>
      </c>
      <c r="D912" s="89" t="s">
        <v>1201</v>
      </c>
      <c r="E912" s="89" t="s">
        <v>1201</v>
      </c>
      <c r="G912" s="8"/>
      <c r="H912" s="8"/>
      <c r="I912" s="8"/>
    </row>
    <row r="913" spans="1:10" ht="15.75" x14ac:dyDescent="0.25">
      <c r="A913" s="4" t="s">
        <v>1318</v>
      </c>
      <c r="B913" s="4" t="s">
        <v>1343</v>
      </c>
      <c r="C913" s="4" t="s">
        <v>77</v>
      </c>
      <c r="D913" s="89" t="s">
        <v>1347</v>
      </c>
      <c r="E913" s="89" t="s">
        <v>1347</v>
      </c>
      <c r="G913" s="8"/>
      <c r="H913" s="8"/>
      <c r="I913" s="8"/>
    </row>
    <row r="914" spans="1:10" ht="15.75" x14ac:dyDescent="0.25">
      <c r="A914" s="4" t="s">
        <v>1318</v>
      </c>
      <c r="B914" s="4" t="s">
        <v>1343</v>
      </c>
      <c r="C914" s="4" t="s">
        <v>77</v>
      </c>
      <c r="D914" s="89" t="s">
        <v>1195</v>
      </c>
      <c r="E914" s="89" t="s">
        <v>1195</v>
      </c>
      <c r="G914" s="8"/>
      <c r="H914" s="8"/>
      <c r="I914" s="8"/>
    </row>
    <row r="915" spans="1:10" ht="15.75" x14ac:dyDescent="0.25">
      <c r="A915" s="4" t="s">
        <v>1318</v>
      </c>
      <c r="B915" s="4" t="s">
        <v>1343</v>
      </c>
      <c r="C915" s="4" t="s">
        <v>77</v>
      </c>
      <c r="D915" s="90" t="s">
        <v>1200</v>
      </c>
      <c r="E915" s="90" t="s">
        <v>1200</v>
      </c>
      <c r="G915" s="8"/>
      <c r="H915" s="8"/>
      <c r="I915" s="8"/>
    </row>
    <row r="916" spans="1:10" ht="15.75" x14ac:dyDescent="0.25">
      <c r="A916" s="4" t="s">
        <v>1318</v>
      </c>
      <c r="B916" s="4" t="s">
        <v>1343</v>
      </c>
      <c r="C916" s="4" t="s">
        <v>77</v>
      </c>
      <c r="D916" s="90" t="s">
        <v>1199</v>
      </c>
      <c r="E916" s="90" t="s">
        <v>1199</v>
      </c>
    </row>
    <row r="917" spans="1:10" x14ac:dyDescent="0.25">
      <c r="A917" s="4" t="s">
        <v>1318</v>
      </c>
      <c r="B917" s="4" t="s">
        <v>1343</v>
      </c>
      <c r="C917" s="4" t="s">
        <v>95</v>
      </c>
      <c r="D917" s="16" t="str">
        <f>I917&amp;".txt"</f>
        <v>Verification.txt</v>
      </c>
      <c r="E917" s="16" t="s">
        <v>81</v>
      </c>
      <c r="G917" s="16" t="s">
        <v>421</v>
      </c>
      <c r="H917" s="16" t="s">
        <v>422</v>
      </c>
      <c r="I917" s="16" t="str">
        <f>VLOOKUP(A917&amp;G917&amp;H917,Views!$E$1:$F$149,2,FALSE)</f>
        <v>Verification</v>
      </c>
    </row>
    <row r="918" spans="1:10" ht="30" x14ac:dyDescent="0.25">
      <c r="A918" s="4" t="s">
        <v>1318</v>
      </c>
      <c r="B918" s="4" t="s">
        <v>1343</v>
      </c>
      <c r="C918" s="4" t="s">
        <v>96</v>
      </c>
      <c r="D918" s="16" t="str">
        <f t="shared" ref="D918:D919" si="5">I918&amp;".txt"</f>
        <v>PSR.txt</v>
      </c>
      <c r="E918" s="16" t="s">
        <v>81</v>
      </c>
      <c r="F918" s="16" t="s">
        <v>1455</v>
      </c>
      <c r="G918" s="16" t="s">
        <v>1175</v>
      </c>
      <c r="H918" s="16" t="s">
        <v>1452</v>
      </c>
      <c r="I918" s="16" t="str">
        <f>VLOOKUP(A918&amp;G918&amp;H918,Views!$E$1:$F$149,2,FALSE)</f>
        <v>PSR</v>
      </c>
    </row>
    <row r="919" spans="1:10" ht="45" x14ac:dyDescent="0.25">
      <c r="A919" s="4" t="s">
        <v>1318</v>
      </c>
      <c r="B919" s="4" t="s">
        <v>1343</v>
      </c>
      <c r="C919" s="4" t="s">
        <v>96</v>
      </c>
      <c r="D919" s="16" t="str">
        <f t="shared" si="5"/>
        <v>General Requirements View (JH).txt</v>
      </c>
      <c r="E919" s="16" t="s">
        <v>81</v>
      </c>
      <c r="F919" s="16" t="s">
        <v>534</v>
      </c>
      <c r="G919" s="16" t="s">
        <v>1420</v>
      </c>
      <c r="H919" s="16" t="s">
        <v>1428</v>
      </c>
      <c r="I919" s="16" t="str">
        <f>VLOOKUP(A919&amp;G919&amp;H919,Views!$E$1:$F$149,2,FALSE)</f>
        <v>General Requirements View (JH)</v>
      </c>
    </row>
    <row r="920" spans="1:10" x14ac:dyDescent="0.25">
      <c r="G920" s="8"/>
      <c r="H920" s="8"/>
      <c r="I920" s="8"/>
    </row>
    <row r="921" spans="1:10" x14ac:dyDescent="0.25">
      <c r="G921" s="8"/>
      <c r="H921" s="8"/>
      <c r="I921" s="8"/>
    </row>
    <row r="922" spans="1:10" ht="30" x14ac:dyDescent="0.25">
      <c r="A922" s="4" t="s">
        <v>651</v>
      </c>
      <c r="B922" s="4" t="s">
        <v>259</v>
      </c>
      <c r="C922" s="4" t="s">
        <v>77</v>
      </c>
      <c r="D922" s="22" t="s">
        <v>749</v>
      </c>
      <c r="E922" s="22" t="s">
        <v>203</v>
      </c>
      <c r="F922" s="3"/>
      <c r="G922" s="8"/>
      <c r="H922" s="8"/>
      <c r="I922" s="8"/>
    </row>
    <row r="923" spans="1:10" ht="30" x14ac:dyDescent="0.25">
      <c r="A923" s="4" t="s">
        <v>651</v>
      </c>
      <c r="B923" s="4" t="s">
        <v>259</v>
      </c>
      <c r="C923" s="4" t="s">
        <v>77</v>
      </c>
      <c r="D923" s="22" t="s">
        <v>729</v>
      </c>
      <c r="E923" s="22" t="s">
        <v>203</v>
      </c>
      <c r="F923" s="3"/>
      <c r="G923" s="8"/>
      <c r="H923" s="8"/>
      <c r="I923" s="8"/>
    </row>
    <row r="924" spans="1:10" ht="30" x14ac:dyDescent="0.25">
      <c r="A924" s="4" t="s">
        <v>651</v>
      </c>
      <c r="B924" s="4" t="s">
        <v>259</v>
      </c>
      <c r="C924" s="4" t="s">
        <v>77</v>
      </c>
      <c r="D924" s="22" t="s">
        <v>750</v>
      </c>
      <c r="E924" s="22" t="s">
        <v>203</v>
      </c>
      <c r="F924" s="3"/>
      <c r="G924" s="8"/>
      <c r="H924" s="8"/>
      <c r="I924" s="8"/>
    </row>
    <row r="925" spans="1:10" ht="30" x14ac:dyDescent="0.25">
      <c r="A925" s="4" t="s">
        <v>651</v>
      </c>
      <c r="B925" s="4" t="s">
        <v>259</v>
      </c>
      <c r="C925" s="4" t="s">
        <v>77</v>
      </c>
      <c r="D925" s="22" t="s">
        <v>1031</v>
      </c>
      <c r="E925" s="22" t="s">
        <v>203</v>
      </c>
      <c r="F925" s="3"/>
      <c r="G925" s="8"/>
      <c r="H925" s="8"/>
      <c r="I925" s="8"/>
    </row>
    <row r="926" spans="1:10" ht="30" x14ac:dyDescent="0.25">
      <c r="A926" s="4" t="s">
        <v>651</v>
      </c>
      <c r="B926" s="4" t="s">
        <v>259</v>
      </c>
      <c r="C926" s="4" t="s">
        <v>77</v>
      </c>
      <c r="D926" s="22" t="s">
        <v>1032</v>
      </c>
      <c r="E926" s="22"/>
      <c r="F926" s="3"/>
      <c r="G926" s="8"/>
      <c r="H926" s="8"/>
      <c r="I926" s="8"/>
    </row>
    <row r="927" spans="1:10" ht="30" x14ac:dyDescent="0.25">
      <c r="A927" s="4" t="s">
        <v>651</v>
      </c>
      <c r="B927" s="4" t="s">
        <v>259</v>
      </c>
      <c r="C927" s="4" t="s">
        <v>77</v>
      </c>
      <c r="D927" s="22" t="s">
        <v>751</v>
      </c>
      <c r="E927" s="22" t="s">
        <v>203</v>
      </c>
      <c r="F927" s="3"/>
      <c r="G927" s="8"/>
      <c r="H927" s="8"/>
      <c r="I927" s="8"/>
    </row>
    <row r="928" spans="1:10" ht="30" x14ac:dyDescent="0.25">
      <c r="A928" s="4" t="s">
        <v>651</v>
      </c>
      <c r="B928" s="4" t="s">
        <v>259</v>
      </c>
      <c r="C928" s="4" t="s">
        <v>77</v>
      </c>
      <c r="D928" s="22" t="s">
        <v>752</v>
      </c>
      <c r="E928" s="22" t="s">
        <v>203</v>
      </c>
      <c r="F928" s="3"/>
      <c r="G928" s="8"/>
      <c r="H928" s="8"/>
      <c r="I928" s="8"/>
      <c r="J928" s="8"/>
    </row>
    <row r="929" spans="1:10" ht="30" x14ac:dyDescent="0.25">
      <c r="A929" s="4" t="s">
        <v>651</v>
      </c>
      <c r="B929" s="4" t="s">
        <v>259</v>
      </c>
      <c r="C929" s="4" t="s">
        <v>77</v>
      </c>
      <c r="D929" s="22" t="s">
        <v>733</v>
      </c>
      <c r="E929" s="22" t="s">
        <v>203</v>
      </c>
      <c r="F929" s="3"/>
      <c r="G929" s="8"/>
      <c r="H929" s="8"/>
      <c r="I929" s="8"/>
    </row>
    <row r="930" spans="1:10" ht="30" x14ac:dyDescent="0.25">
      <c r="A930" s="4" t="s">
        <v>651</v>
      </c>
      <c r="B930" s="4" t="s">
        <v>259</v>
      </c>
      <c r="C930" s="4" t="s">
        <v>77</v>
      </c>
      <c r="D930" s="22" t="s">
        <v>1033</v>
      </c>
      <c r="E930" s="22" t="s">
        <v>203</v>
      </c>
      <c r="F930" s="3"/>
      <c r="G930" s="8"/>
      <c r="H930" s="8"/>
      <c r="I930" s="8"/>
    </row>
    <row r="931" spans="1:10" ht="30" x14ac:dyDescent="0.25">
      <c r="A931" s="4" t="s">
        <v>651</v>
      </c>
      <c r="B931" s="4" t="s">
        <v>259</v>
      </c>
      <c r="C931" s="4" t="s">
        <v>77</v>
      </c>
      <c r="D931" s="22" t="s">
        <v>753</v>
      </c>
      <c r="E931" s="22" t="s">
        <v>203</v>
      </c>
      <c r="F931" s="3"/>
      <c r="G931" s="8"/>
      <c r="H931" s="8"/>
      <c r="I931" s="8"/>
      <c r="J931" s="8"/>
    </row>
    <row r="932" spans="1:10" ht="30" x14ac:dyDescent="0.25">
      <c r="A932" s="4" t="s">
        <v>651</v>
      </c>
      <c r="B932" s="4" t="s">
        <v>259</v>
      </c>
      <c r="C932" s="4" t="s">
        <v>77</v>
      </c>
      <c r="D932" s="22" t="s">
        <v>754</v>
      </c>
      <c r="E932" s="22" t="s">
        <v>203</v>
      </c>
      <c r="F932" s="3"/>
      <c r="G932" s="8"/>
      <c r="H932" s="8"/>
      <c r="I932" s="8"/>
    </row>
    <row r="933" spans="1:10" ht="30" x14ac:dyDescent="0.25">
      <c r="A933" s="4" t="s">
        <v>651</v>
      </c>
      <c r="B933" s="4" t="s">
        <v>259</v>
      </c>
      <c r="C933" s="4" t="s">
        <v>77</v>
      </c>
      <c r="D933" s="22" t="s">
        <v>878</v>
      </c>
      <c r="E933" s="22" t="s">
        <v>203</v>
      </c>
      <c r="F933" s="3"/>
      <c r="G933" s="8"/>
      <c r="H933" s="8"/>
      <c r="I933" s="8"/>
    </row>
    <row r="934" spans="1:10" ht="30" x14ac:dyDescent="0.25">
      <c r="A934" s="4" t="s">
        <v>651</v>
      </c>
      <c r="B934" s="4" t="s">
        <v>259</v>
      </c>
      <c r="C934" s="4" t="s">
        <v>77</v>
      </c>
      <c r="D934" s="22" t="s">
        <v>946</v>
      </c>
      <c r="E934" s="22" t="s">
        <v>203</v>
      </c>
      <c r="F934" s="3"/>
      <c r="G934" s="8"/>
      <c r="H934" s="8"/>
      <c r="I934" s="8"/>
    </row>
    <row r="935" spans="1:10" ht="30" x14ac:dyDescent="0.25">
      <c r="A935" s="4" t="s">
        <v>651</v>
      </c>
      <c r="B935" s="4" t="s">
        <v>259</v>
      </c>
      <c r="C935" s="4" t="s">
        <v>77</v>
      </c>
      <c r="D935" s="16" t="s">
        <v>477</v>
      </c>
      <c r="E935" s="16" t="s">
        <v>477</v>
      </c>
      <c r="F935" s="3"/>
      <c r="G935" s="8"/>
      <c r="H935" s="8"/>
      <c r="I935" s="8"/>
    </row>
    <row r="936" spans="1:10" ht="30" x14ac:dyDescent="0.25">
      <c r="A936" s="4" t="s">
        <v>651</v>
      </c>
      <c r="B936" s="4" t="s">
        <v>259</v>
      </c>
      <c r="C936" s="4" t="s">
        <v>77</v>
      </c>
      <c r="D936" s="16" t="s">
        <v>84</v>
      </c>
      <c r="E936" s="16" t="s">
        <v>81</v>
      </c>
      <c r="F936" s="3"/>
      <c r="G936" s="8"/>
      <c r="H936" s="8"/>
      <c r="I936" s="8"/>
    </row>
    <row r="937" spans="1:10" ht="30" x14ac:dyDescent="0.25">
      <c r="A937" s="4" t="s">
        <v>651</v>
      </c>
      <c r="B937" s="4" t="s">
        <v>259</v>
      </c>
      <c r="C937" s="4" t="s">
        <v>77</v>
      </c>
      <c r="D937" s="16" t="s">
        <v>82</v>
      </c>
      <c r="E937" s="16" t="s">
        <v>79</v>
      </c>
      <c r="F937" s="3"/>
      <c r="G937" s="8"/>
      <c r="H937" s="8"/>
      <c r="I937" s="8"/>
    </row>
    <row r="938" spans="1:10" ht="30" x14ac:dyDescent="0.25">
      <c r="A938" s="4" t="s">
        <v>651</v>
      </c>
      <c r="B938" s="4" t="s">
        <v>259</v>
      </c>
      <c r="C938" s="4" t="s">
        <v>77</v>
      </c>
      <c r="D938" s="16" t="s">
        <v>85</v>
      </c>
      <c r="E938" s="16" t="s">
        <v>85</v>
      </c>
      <c r="F938" s="3"/>
      <c r="G938" s="8"/>
      <c r="H938" s="8"/>
      <c r="I938" s="8"/>
    </row>
    <row r="939" spans="1:10" ht="30" x14ac:dyDescent="0.25">
      <c r="A939" s="4" t="s">
        <v>651</v>
      </c>
      <c r="B939" s="4" t="s">
        <v>259</v>
      </c>
      <c r="C939" s="4" t="s">
        <v>77</v>
      </c>
      <c r="D939" s="16" t="s">
        <v>86</v>
      </c>
      <c r="E939" s="16" t="s">
        <v>87</v>
      </c>
      <c r="F939" s="3"/>
      <c r="G939" s="8"/>
      <c r="H939" s="8"/>
      <c r="I939" s="8"/>
      <c r="J939" t="b">
        <v>1</v>
      </c>
    </row>
    <row r="940" spans="1:10" ht="30" x14ac:dyDescent="0.25">
      <c r="A940" s="4" t="s">
        <v>651</v>
      </c>
      <c r="B940" s="4" t="s">
        <v>259</v>
      </c>
      <c r="C940" s="4" t="s">
        <v>77</v>
      </c>
      <c r="D940" s="16" t="s">
        <v>88</v>
      </c>
      <c r="E940" s="16" t="s">
        <v>88</v>
      </c>
      <c r="F940" s="3"/>
      <c r="G940" s="8"/>
      <c r="H940" s="8"/>
      <c r="I940" s="8"/>
    </row>
    <row r="941" spans="1:10" ht="30" x14ac:dyDescent="0.25">
      <c r="A941" s="4" t="s">
        <v>651</v>
      </c>
      <c r="B941" s="4" t="s">
        <v>259</v>
      </c>
      <c r="C941" s="4" t="s">
        <v>77</v>
      </c>
      <c r="D941" s="16" t="s">
        <v>97</v>
      </c>
      <c r="E941" s="16" t="s">
        <v>98</v>
      </c>
      <c r="F941" s="3"/>
      <c r="G941" s="8"/>
      <c r="H941" s="8"/>
      <c r="I941" s="8"/>
    </row>
    <row r="942" spans="1:10" ht="30" x14ac:dyDescent="0.25">
      <c r="A942" s="4" t="s">
        <v>651</v>
      </c>
      <c r="B942" s="4" t="s">
        <v>259</v>
      </c>
      <c r="C942" s="4" t="s">
        <v>77</v>
      </c>
      <c r="D942" s="16" t="s">
        <v>99</v>
      </c>
      <c r="E942" s="16" t="s">
        <v>99</v>
      </c>
      <c r="F942" s="3"/>
      <c r="G942" s="8"/>
      <c r="H942" s="8"/>
      <c r="I942" s="8"/>
    </row>
    <row r="943" spans="1:10" ht="30" x14ac:dyDescent="0.25">
      <c r="A943" s="4" t="s">
        <v>651</v>
      </c>
      <c r="B943" s="4" t="s">
        <v>259</v>
      </c>
      <c r="C943" s="4" t="s">
        <v>77</v>
      </c>
      <c r="D943" s="16" t="s">
        <v>100</v>
      </c>
      <c r="E943" s="16" t="s">
        <v>101</v>
      </c>
      <c r="F943" s="3"/>
      <c r="G943" s="8"/>
      <c r="H943" s="8"/>
      <c r="I943" s="8"/>
    </row>
    <row r="944" spans="1:10" ht="30" x14ac:dyDescent="0.25">
      <c r="A944" s="4" t="s">
        <v>651</v>
      </c>
      <c r="B944" s="4" t="s">
        <v>259</v>
      </c>
      <c r="C944" s="4" t="s">
        <v>77</v>
      </c>
      <c r="D944" s="16" t="s">
        <v>102</v>
      </c>
      <c r="E944" s="16" t="s">
        <v>102</v>
      </c>
      <c r="F944" s="3"/>
      <c r="G944" s="8"/>
      <c r="H944" s="8"/>
      <c r="I944" s="8"/>
    </row>
    <row r="945" spans="1:9" ht="30" x14ac:dyDescent="0.25">
      <c r="A945" s="4" t="s">
        <v>651</v>
      </c>
      <c r="B945" s="4" t="s">
        <v>259</v>
      </c>
      <c r="C945" s="4" t="s">
        <v>77</v>
      </c>
      <c r="D945" s="16" t="s">
        <v>25</v>
      </c>
      <c r="E945" s="16" t="s">
        <v>333</v>
      </c>
      <c r="F945" s="3"/>
      <c r="G945" s="8"/>
      <c r="H945" s="8"/>
      <c r="I945" s="8"/>
    </row>
    <row r="946" spans="1:9" ht="30" x14ac:dyDescent="0.25">
      <c r="A946" s="4" t="s">
        <v>651</v>
      </c>
      <c r="B946" s="4" t="s">
        <v>259</v>
      </c>
      <c r="C946" s="4" t="s">
        <v>77</v>
      </c>
      <c r="D946" s="16" t="s">
        <v>103</v>
      </c>
      <c r="E946" s="16" t="s">
        <v>335</v>
      </c>
      <c r="F946" s="3"/>
      <c r="G946" s="8"/>
      <c r="H946" s="8"/>
      <c r="I946" s="8"/>
    </row>
    <row r="947" spans="1:9" ht="30" x14ac:dyDescent="0.25">
      <c r="A947" s="4" t="s">
        <v>651</v>
      </c>
      <c r="B947" s="4" t="s">
        <v>259</v>
      </c>
      <c r="C947" s="4" t="s">
        <v>77</v>
      </c>
      <c r="D947" s="16" t="s">
        <v>78</v>
      </c>
      <c r="E947" s="16" t="s">
        <v>79</v>
      </c>
      <c r="F947" s="16" t="s">
        <v>104</v>
      </c>
      <c r="G947" s="8"/>
      <c r="H947" s="8"/>
      <c r="I947" s="8"/>
    </row>
    <row r="948" spans="1:9" ht="30" x14ac:dyDescent="0.25">
      <c r="A948" s="4" t="s">
        <v>651</v>
      </c>
      <c r="B948" s="4" t="s">
        <v>259</v>
      </c>
      <c r="C948" s="4" t="s">
        <v>77</v>
      </c>
      <c r="D948" s="16" t="s">
        <v>89</v>
      </c>
      <c r="E948" s="16" t="s">
        <v>991</v>
      </c>
      <c r="F948" s="16" t="s">
        <v>104</v>
      </c>
      <c r="G948" s="8"/>
      <c r="H948" s="8"/>
      <c r="I948" s="8"/>
    </row>
    <row r="949" spans="1:9" ht="30" x14ac:dyDescent="0.25">
      <c r="A949" s="4" t="s">
        <v>651</v>
      </c>
      <c r="B949" s="4" t="s">
        <v>259</v>
      </c>
      <c r="C949" s="4" t="s">
        <v>77</v>
      </c>
      <c r="D949" s="16" t="s">
        <v>90</v>
      </c>
      <c r="E949" s="16" t="s">
        <v>992</v>
      </c>
      <c r="F949" s="16" t="s">
        <v>104</v>
      </c>
      <c r="G949" s="8"/>
      <c r="H949" s="8"/>
      <c r="I949" s="8"/>
    </row>
    <row r="950" spans="1:9" ht="30" x14ac:dyDescent="0.25">
      <c r="A950" s="4" t="s">
        <v>651</v>
      </c>
      <c r="B950" s="4" t="s">
        <v>259</v>
      </c>
      <c r="C950" s="4" t="s">
        <v>77</v>
      </c>
      <c r="D950" s="16" t="s">
        <v>93</v>
      </c>
      <c r="E950" s="16" t="s">
        <v>993</v>
      </c>
      <c r="F950" s="16" t="s">
        <v>104</v>
      </c>
      <c r="G950" s="8"/>
      <c r="H950" s="8"/>
      <c r="I950" s="8"/>
    </row>
    <row r="951" spans="1:9" ht="30" x14ac:dyDescent="0.25">
      <c r="A951" s="4" t="s">
        <v>651</v>
      </c>
      <c r="B951" s="4" t="s">
        <v>259</v>
      </c>
      <c r="C951" s="4" t="s">
        <v>77</v>
      </c>
      <c r="D951" s="16" t="s">
        <v>94</v>
      </c>
      <c r="E951" s="16" t="s">
        <v>1034</v>
      </c>
      <c r="F951" s="16" t="s">
        <v>104</v>
      </c>
      <c r="G951" s="8"/>
      <c r="H951" s="8"/>
      <c r="I951" s="8"/>
    </row>
    <row r="952" spans="1:9" ht="30" x14ac:dyDescent="0.25">
      <c r="A952" s="4" t="s">
        <v>651</v>
      </c>
      <c r="B952" s="4" t="s">
        <v>259</v>
      </c>
      <c r="C952" s="4" t="s">
        <v>77</v>
      </c>
      <c r="D952" s="16" t="s">
        <v>912</v>
      </c>
      <c r="E952" s="16" t="s">
        <v>79</v>
      </c>
      <c r="F952" s="16" t="s">
        <v>104</v>
      </c>
      <c r="G952" s="8"/>
      <c r="H952" s="8"/>
      <c r="I952" s="8"/>
    </row>
    <row r="953" spans="1:9" ht="30" x14ac:dyDescent="0.25">
      <c r="A953" s="4" t="s">
        <v>651</v>
      </c>
      <c r="B953" s="4" t="s">
        <v>259</v>
      </c>
      <c r="C953" s="4" t="s">
        <v>77</v>
      </c>
      <c r="D953" s="16" t="s">
        <v>913</v>
      </c>
      <c r="E953" s="16" t="s">
        <v>915</v>
      </c>
      <c r="F953" s="16" t="s">
        <v>1315</v>
      </c>
      <c r="G953" s="8"/>
      <c r="H953" s="8"/>
      <c r="I953" s="8"/>
    </row>
    <row r="954" spans="1:9" ht="30" x14ac:dyDescent="0.25">
      <c r="A954" s="4" t="s">
        <v>651</v>
      </c>
      <c r="B954" s="4" t="s">
        <v>259</v>
      </c>
      <c r="C954" s="4" t="s">
        <v>77</v>
      </c>
      <c r="D954" s="16" t="s">
        <v>914</v>
      </c>
      <c r="E954" s="16" t="s">
        <v>914</v>
      </c>
      <c r="F954" s="16" t="s">
        <v>1315</v>
      </c>
      <c r="G954" s="8"/>
      <c r="H954" s="8"/>
      <c r="I954" s="8"/>
    </row>
    <row r="955" spans="1:9" ht="30" x14ac:dyDescent="0.25">
      <c r="A955" s="4" t="s">
        <v>651</v>
      </c>
      <c r="B955" s="4" t="s">
        <v>259</v>
      </c>
      <c r="C955" s="4" t="s">
        <v>77</v>
      </c>
      <c r="D955" s="16" t="s">
        <v>801</v>
      </c>
      <c r="E955" s="16" t="s">
        <v>1035</v>
      </c>
      <c r="F955" s="16" t="s">
        <v>1315</v>
      </c>
      <c r="G955" s="8"/>
      <c r="H955" s="8"/>
      <c r="I955" s="8"/>
    </row>
    <row r="956" spans="1:9" ht="30" x14ac:dyDescent="0.25">
      <c r="A956" s="4" t="s">
        <v>651</v>
      </c>
      <c r="B956" s="4" t="s">
        <v>259</v>
      </c>
      <c r="C956" s="4" t="s">
        <v>77</v>
      </c>
      <c r="D956" s="16" t="s">
        <v>105</v>
      </c>
      <c r="E956" s="16" t="s">
        <v>105</v>
      </c>
      <c r="F956" s="3"/>
      <c r="G956" s="8"/>
      <c r="H956" s="8"/>
      <c r="I956" s="8"/>
    </row>
    <row r="957" spans="1:9" ht="30" x14ac:dyDescent="0.25">
      <c r="A957" s="4" t="s">
        <v>651</v>
      </c>
      <c r="B957" s="4" t="s">
        <v>259</v>
      </c>
      <c r="C957" s="4" t="s">
        <v>95</v>
      </c>
      <c r="D957" s="16" t="e">
        <f>I957&amp;".txt"</f>
        <v>#REF!</v>
      </c>
      <c r="E957" s="16" t="s">
        <v>81</v>
      </c>
      <c r="F957" s="3"/>
      <c r="G957" s="16" t="s">
        <v>29</v>
      </c>
      <c r="H957" s="16" t="s">
        <v>59</v>
      </c>
      <c r="I957" s="16" t="e">
        <f>VLOOKUP(A957&amp;G957&amp;H957,#REF!,2,FALSE)</f>
        <v>#REF!</v>
      </c>
    </row>
    <row r="958" spans="1:9" x14ac:dyDescent="0.25">
      <c r="G958" s="8"/>
      <c r="H958" s="8"/>
      <c r="I958" s="8"/>
    </row>
    <row r="959" spans="1:9" x14ac:dyDescent="0.25">
      <c r="A959" s="3" t="s">
        <v>924</v>
      </c>
      <c r="B959" s="52" t="s">
        <v>353</v>
      </c>
      <c r="C959" s="3" t="s">
        <v>77</v>
      </c>
      <c r="D959" s="53" t="s">
        <v>961</v>
      </c>
      <c r="E959" s="53" t="s">
        <v>81</v>
      </c>
      <c r="F959" s="3"/>
      <c r="G959" s="8"/>
      <c r="H959" s="8"/>
      <c r="I959" s="8"/>
    </row>
    <row r="960" spans="1:9" x14ac:dyDescent="0.25">
      <c r="A960" s="3" t="s">
        <v>924</v>
      </c>
      <c r="B960" s="52" t="s">
        <v>353</v>
      </c>
      <c r="C960" s="3" t="s">
        <v>77</v>
      </c>
      <c r="D960" s="53" t="s">
        <v>82</v>
      </c>
      <c r="E960" s="53" t="s">
        <v>79</v>
      </c>
      <c r="F960" s="3"/>
      <c r="G960" s="8"/>
      <c r="H960" s="8"/>
      <c r="I960" s="8"/>
    </row>
    <row r="961" spans="1:9" x14ac:dyDescent="0.25">
      <c r="A961" s="3" t="s">
        <v>924</v>
      </c>
      <c r="B961" s="52" t="s">
        <v>353</v>
      </c>
      <c r="C961" s="3" t="s">
        <v>77</v>
      </c>
      <c r="D961" s="53" t="s">
        <v>962</v>
      </c>
      <c r="E961" s="53" t="s">
        <v>962</v>
      </c>
      <c r="F961" s="3"/>
      <c r="G961" s="8"/>
      <c r="H961" s="8"/>
      <c r="I961" s="8"/>
    </row>
    <row r="962" spans="1:9" x14ac:dyDescent="0.25">
      <c r="A962" s="3" t="s">
        <v>924</v>
      </c>
      <c r="B962" s="52" t="s">
        <v>353</v>
      </c>
      <c r="C962" s="3" t="s">
        <v>77</v>
      </c>
      <c r="D962" s="53" t="s">
        <v>85</v>
      </c>
      <c r="E962" s="53" t="s">
        <v>85</v>
      </c>
      <c r="F962" s="3"/>
      <c r="G962" s="8"/>
      <c r="H962" s="8"/>
      <c r="I962" s="8"/>
    </row>
    <row r="963" spans="1:9" x14ac:dyDescent="0.25">
      <c r="A963" s="3" t="s">
        <v>924</v>
      </c>
      <c r="B963" s="52" t="s">
        <v>353</v>
      </c>
      <c r="C963" s="3" t="s">
        <v>77</v>
      </c>
      <c r="D963" s="53" t="s">
        <v>86</v>
      </c>
      <c r="E963" s="53" t="s">
        <v>87</v>
      </c>
      <c r="F963" s="3"/>
      <c r="G963" s="8"/>
      <c r="H963" s="8"/>
      <c r="I963" s="8"/>
    </row>
    <row r="964" spans="1:9" x14ac:dyDescent="0.25">
      <c r="A964" s="3" t="s">
        <v>924</v>
      </c>
      <c r="B964" s="52" t="s">
        <v>353</v>
      </c>
      <c r="C964" s="3" t="s">
        <v>77</v>
      </c>
      <c r="D964" s="54" t="s">
        <v>1047</v>
      </c>
      <c r="E964" s="54" t="s">
        <v>1311</v>
      </c>
      <c r="F964" s="47" t="s">
        <v>1049</v>
      </c>
      <c r="G964" s="8"/>
      <c r="H964" s="8"/>
      <c r="I964" s="8"/>
    </row>
    <row r="965" spans="1:9" x14ac:dyDescent="0.25">
      <c r="A965" s="3" t="s">
        <v>924</v>
      </c>
      <c r="B965" s="52" t="s">
        <v>353</v>
      </c>
      <c r="C965" s="3" t="s">
        <v>77</v>
      </c>
      <c r="D965" s="54" t="s">
        <v>1048</v>
      </c>
      <c r="E965" s="54" t="s">
        <v>1312</v>
      </c>
      <c r="F965" s="47" t="s">
        <v>1049</v>
      </c>
      <c r="G965" s="8"/>
      <c r="H965" s="8"/>
      <c r="I965" s="8"/>
    </row>
    <row r="966" spans="1:9" x14ac:dyDescent="0.25">
      <c r="A966" s="3" t="s">
        <v>924</v>
      </c>
      <c r="B966" s="52" t="s">
        <v>353</v>
      </c>
      <c r="C966" s="3" t="s">
        <v>77</v>
      </c>
      <c r="D966" s="55" t="s">
        <v>88</v>
      </c>
      <c r="E966" s="55" t="s">
        <v>88</v>
      </c>
      <c r="F966" s="3"/>
      <c r="G966" s="8"/>
      <c r="H966" s="8"/>
      <c r="I966" s="8"/>
    </row>
    <row r="967" spans="1:9" x14ac:dyDescent="0.25">
      <c r="A967" s="3" t="s">
        <v>924</v>
      </c>
      <c r="B967" s="52" t="s">
        <v>353</v>
      </c>
      <c r="C967" s="3" t="s">
        <v>77</v>
      </c>
      <c r="D967" s="55" t="s">
        <v>25</v>
      </c>
      <c r="E967" s="55" t="s">
        <v>333</v>
      </c>
      <c r="F967" s="3"/>
      <c r="G967" s="8"/>
      <c r="H967" s="8"/>
      <c r="I967" s="8"/>
    </row>
    <row r="968" spans="1:9" x14ac:dyDescent="0.25">
      <c r="A968" s="3" t="s">
        <v>924</v>
      </c>
      <c r="B968" s="52" t="s">
        <v>353</v>
      </c>
      <c r="C968" s="3" t="s">
        <v>77</v>
      </c>
      <c r="D968" s="55" t="s">
        <v>1088</v>
      </c>
      <c r="E968" s="55" t="s">
        <v>1088</v>
      </c>
      <c r="F968" s="3"/>
      <c r="G968" s="8"/>
      <c r="H968" s="8"/>
      <c r="I968" s="8"/>
    </row>
    <row r="969" spans="1:9" x14ac:dyDescent="0.25">
      <c r="A969" s="3" t="s">
        <v>924</v>
      </c>
      <c r="B969" s="52" t="s">
        <v>353</v>
      </c>
      <c r="C969" s="3" t="s">
        <v>77</v>
      </c>
      <c r="D969" s="55" t="s">
        <v>1089</v>
      </c>
      <c r="E969" s="55" t="s">
        <v>1089</v>
      </c>
      <c r="F969" s="3"/>
      <c r="G969" s="8"/>
      <c r="H969" s="8"/>
      <c r="I969" s="8"/>
    </row>
    <row r="970" spans="1:9" x14ac:dyDescent="0.25">
      <c r="A970" s="3" t="s">
        <v>924</v>
      </c>
      <c r="B970" s="52" t="s">
        <v>353</v>
      </c>
      <c r="C970" s="3" t="s">
        <v>77</v>
      </c>
      <c r="D970" s="55" t="s">
        <v>99</v>
      </c>
      <c r="E970" s="55" t="s">
        <v>99</v>
      </c>
      <c r="F970" s="3"/>
      <c r="G970" s="8"/>
      <c r="H970" s="8"/>
      <c r="I970" s="8"/>
    </row>
    <row r="971" spans="1:9" x14ac:dyDescent="0.25">
      <c r="A971" s="3" t="s">
        <v>924</v>
      </c>
      <c r="B971" s="52" t="s">
        <v>353</v>
      </c>
      <c r="C971" s="3" t="s">
        <v>77</v>
      </c>
      <c r="D971" s="53" t="s">
        <v>102</v>
      </c>
      <c r="E971" s="53" t="s">
        <v>102</v>
      </c>
      <c r="F971" s="3"/>
      <c r="G971" s="8"/>
      <c r="H971" s="8"/>
      <c r="I971" s="8"/>
    </row>
    <row r="972" spans="1:9" x14ac:dyDescent="0.25">
      <c r="A972" s="3" t="s">
        <v>924</v>
      </c>
      <c r="B972" s="52" t="s">
        <v>353</v>
      </c>
      <c r="C972" s="3" t="s">
        <v>77</v>
      </c>
      <c r="D972" s="57" t="s">
        <v>105</v>
      </c>
      <c r="E972" s="57" t="s">
        <v>105</v>
      </c>
      <c r="F972" s="3"/>
      <c r="G972" s="8"/>
      <c r="H972" s="8"/>
      <c r="I972" s="8"/>
    </row>
    <row r="973" spans="1:9" x14ac:dyDescent="0.25">
      <c r="A973" s="3" t="s">
        <v>924</v>
      </c>
      <c r="B973" s="52" t="s">
        <v>353</v>
      </c>
      <c r="C973" s="3" t="s">
        <v>77</v>
      </c>
      <c r="D973" s="56" t="s">
        <v>995</v>
      </c>
      <c r="E973" s="56" t="s">
        <v>996</v>
      </c>
      <c r="F973" s="3"/>
      <c r="G973" s="8"/>
      <c r="H973" s="8"/>
      <c r="I973" s="8"/>
    </row>
    <row r="974" spans="1:9" x14ac:dyDescent="0.25">
      <c r="A974" s="3" t="s">
        <v>924</v>
      </c>
      <c r="B974" s="52" t="s">
        <v>353</v>
      </c>
      <c r="C974" s="3" t="s">
        <v>77</v>
      </c>
      <c r="D974" s="56" t="s">
        <v>1037</v>
      </c>
      <c r="E974" s="56" t="s">
        <v>1037</v>
      </c>
      <c r="F974" s="3"/>
      <c r="G974" s="8"/>
      <c r="H974" s="8"/>
      <c r="I974" s="8"/>
    </row>
    <row r="975" spans="1:9" x14ac:dyDescent="0.25">
      <c r="A975" s="3" t="s">
        <v>924</v>
      </c>
      <c r="B975" s="52" t="s">
        <v>353</v>
      </c>
      <c r="C975" s="3" t="s">
        <v>77</v>
      </c>
      <c r="D975" s="56" t="s">
        <v>1204</v>
      </c>
      <c r="E975" s="56" t="s">
        <v>1204</v>
      </c>
      <c r="F975" s="3"/>
      <c r="G975" s="8"/>
      <c r="H975" s="8"/>
      <c r="I975" s="8"/>
    </row>
    <row r="976" spans="1:9" x14ac:dyDescent="0.25">
      <c r="A976" s="3" t="s">
        <v>924</v>
      </c>
      <c r="B976" s="52" t="s">
        <v>353</v>
      </c>
      <c r="C976" s="3" t="s">
        <v>77</v>
      </c>
      <c r="D976" s="59" t="s">
        <v>1205</v>
      </c>
      <c r="E976" s="59" t="s">
        <v>1205</v>
      </c>
      <c r="F976" s="3"/>
      <c r="G976" s="8"/>
      <c r="H976" s="8"/>
      <c r="I976" s="8"/>
    </row>
    <row r="977" spans="1:9" x14ac:dyDescent="0.25">
      <c r="A977" s="3" t="s">
        <v>924</v>
      </c>
      <c r="B977" s="52" t="s">
        <v>353</v>
      </c>
      <c r="C977" s="3" t="s">
        <v>77</v>
      </c>
      <c r="D977" s="59" t="s">
        <v>1306</v>
      </c>
      <c r="E977" s="59" t="s">
        <v>1070</v>
      </c>
      <c r="F977" s="3"/>
      <c r="G977" s="8"/>
      <c r="H977" s="8"/>
      <c r="I977" s="8"/>
    </row>
    <row r="978" spans="1:9" x14ac:dyDescent="0.25">
      <c r="A978" s="3" t="s">
        <v>924</v>
      </c>
      <c r="B978" s="52" t="s">
        <v>353</v>
      </c>
      <c r="C978" s="3" t="s">
        <v>77</v>
      </c>
      <c r="D978" s="59" t="s">
        <v>1070</v>
      </c>
      <c r="E978" s="59" t="s">
        <v>1070</v>
      </c>
      <c r="F978" s="47" t="s">
        <v>1307</v>
      </c>
      <c r="G978" s="8"/>
      <c r="H978" s="8"/>
      <c r="I978" s="8"/>
    </row>
    <row r="979" spans="1:9" ht="30" x14ac:dyDescent="0.25">
      <c r="A979" s="3" t="s">
        <v>924</v>
      </c>
      <c r="B979" s="52" t="s">
        <v>353</v>
      </c>
      <c r="C979" s="3" t="s">
        <v>77</v>
      </c>
      <c r="D979" s="59" t="s">
        <v>1314</v>
      </c>
      <c r="E979" s="59" t="s">
        <v>1313</v>
      </c>
      <c r="F979" s="47" t="s">
        <v>1307</v>
      </c>
      <c r="G979" s="8"/>
      <c r="H979" s="8"/>
      <c r="I979" s="8"/>
    </row>
    <row r="980" spans="1:9" x14ac:dyDescent="0.25">
      <c r="A980" s="3" t="s">
        <v>924</v>
      </c>
      <c r="B980" s="52" t="s">
        <v>353</v>
      </c>
      <c r="C980" s="3" t="s">
        <v>77</v>
      </c>
      <c r="D980" s="53" t="s">
        <v>963</v>
      </c>
      <c r="E980" s="53" t="s">
        <v>963</v>
      </c>
      <c r="F980" s="3"/>
      <c r="G980" s="8"/>
      <c r="H980" s="8"/>
      <c r="I980" s="8"/>
    </row>
    <row r="981" spans="1:9" x14ac:dyDescent="0.25">
      <c r="A981" s="3" t="s">
        <v>924</v>
      </c>
      <c r="B981" s="52" t="s">
        <v>353</v>
      </c>
      <c r="C981" s="3" t="s">
        <v>77</v>
      </c>
      <c r="D981" s="53" t="s">
        <v>964</v>
      </c>
      <c r="E981" s="53" t="s">
        <v>964</v>
      </c>
      <c r="F981" s="3"/>
      <c r="G981" s="8"/>
      <c r="H981" s="8"/>
      <c r="I981" s="8"/>
    </row>
    <row r="982" spans="1:9" x14ac:dyDescent="0.25">
      <c r="A982" s="3" t="s">
        <v>924</v>
      </c>
      <c r="B982" s="52" t="s">
        <v>353</v>
      </c>
      <c r="C982" s="3" t="s">
        <v>77</v>
      </c>
      <c r="D982" s="53" t="s">
        <v>965</v>
      </c>
      <c r="E982" s="53" t="s">
        <v>965</v>
      </c>
      <c r="F982" s="3"/>
      <c r="G982" s="8"/>
      <c r="H982" s="8"/>
      <c r="I982" s="8"/>
    </row>
    <row r="983" spans="1:9" x14ac:dyDescent="0.25">
      <c r="A983" s="3" t="s">
        <v>924</v>
      </c>
      <c r="B983" s="52" t="s">
        <v>353</v>
      </c>
      <c r="C983" s="3" t="s">
        <v>77</v>
      </c>
      <c r="D983" s="58" t="s">
        <v>1067</v>
      </c>
      <c r="E983" s="58" t="s">
        <v>1067</v>
      </c>
      <c r="F983" s="3"/>
      <c r="G983" s="8"/>
      <c r="H983" s="8"/>
      <c r="I983" s="8"/>
    </row>
    <row r="984" spans="1:9" x14ac:dyDescent="0.25">
      <c r="A984" s="3" t="s">
        <v>924</v>
      </c>
      <c r="B984" s="52" t="s">
        <v>353</v>
      </c>
      <c r="C984" s="3" t="s">
        <v>77</v>
      </c>
      <c r="D984" s="58" t="s">
        <v>1068</v>
      </c>
      <c r="E984" s="58" t="s">
        <v>1068</v>
      </c>
      <c r="F984" s="3"/>
      <c r="G984" s="8"/>
      <c r="H984" s="8"/>
      <c r="I984" s="8"/>
    </row>
    <row r="985" spans="1:9" x14ac:dyDescent="0.25">
      <c r="A985" s="3" t="s">
        <v>924</v>
      </c>
      <c r="B985" s="52" t="s">
        <v>353</v>
      </c>
      <c r="C985" s="3" t="s">
        <v>77</v>
      </c>
      <c r="D985" s="58" t="s">
        <v>1069</v>
      </c>
      <c r="E985" s="58" t="s">
        <v>1069</v>
      </c>
      <c r="F985" s="3"/>
      <c r="G985" s="8"/>
      <c r="H985" s="8"/>
      <c r="I985" s="8"/>
    </row>
    <row r="986" spans="1:9" x14ac:dyDescent="0.25">
      <c r="A986" s="3" t="s">
        <v>924</v>
      </c>
      <c r="B986" s="52" t="s">
        <v>353</v>
      </c>
      <c r="C986" s="3" t="s">
        <v>77</v>
      </c>
      <c r="D986" s="60" t="s">
        <v>729</v>
      </c>
      <c r="E986" s="61" t="s">
        <v>203</v>
      </c>
      <c r="F986" s="3"/>
      <c r="G986" s="8"/>
      <c r="H986" s="8"/>
      <c r="I986" s="8"/>
    </row>
    <row r="987" spans="1:9" x14ac:dyDescent="0.25">
      <c r="A987" s="3" t="s">
        <v>924</v>
      </c>
      <c r="B987" s="52" t="s">
        <v>353</v>
      </c>
      <c r="C987" s="3" t="s">
        <v>77</v>
      </c>
      <c r="D987" s="60" t="s">
        <v>730</v>
      </c>
      <c r="E987" s="61" t="s">
        <v>203</v>
      </c>
      <c r="F987" s="3"/>
      <c r="G987" s="8"/>
      <c r="H987" s="8"/>
      <c r="I987" s="8"/>
    </row>
    <row r="988" spans="1:9" x14ac:dyDescent="0.25">
      <c r="A988" s="3" t="s">
        <v>924</v>
      </c>
      <c r="B988" s="52" t="s">
        <v>353</v>
      </c>
      <c r="C988" s="3" t="s">
        <v>77</v>
      </c>
      <c r="D988" s="60" t="s">
        <v>731</v>
      </c>
      <c r="E988" s="61" t="s">
        <v>203</v>
      </c>
      <c r="F988" s="3"/>
      <c r="G988" s="8"/>
      <c r="H988" s="8"/>
      <c r="I988" s="8"/>
    </row>
    <row r="989" spans="1:9" x14ac:dyDescent="0.25">
      <c r="A989" s="3" t="s">
        <v>924</v>
      </c>
      <c r="B989" s="52" t="s">
        <v>353</v>
      </c>
      <c r="C989" s="3" t="s">
        <v>77</v>
      </c>
      <c r="D989" s="60" t="s">
        <v>732</v>
      </c>
      <c r="E989" s="61" t="s">
        <v>203</v>
      </c>
      <c r="F989" s="3"/>
      <c r="G989" s="8"/>
      <c r="H989" s="8"/>
      <c r="I989" s="8"/>
    </row>
    <row r="990" spans="1:9" x14ac:dyDescent="0.25">
      <c r="A990" s="3" t="s">
        <v>924</v>
      </c>
      <c r="B990" s="52" t="s">
        <v>353</v>
      </c>
      <c r="C990" s="3" t="s">
        <v>77</v>
      </c>
      <c r="D990" s="60" t="s">
        <v>733</v>
      </c>
      <c r="E990" s="61" t="s">
        <v>203</v>
      </c>
      <c r="F990" s="3"/>
      <c r="G990" s="8"/>
      <c r="H990" s="8"/>
      <c r="I990" s="8"/>
    </row>
    <row r="991" spans="1:9" x14ac:dyDescent="0.25">
      <c r="A991" s="3" t="s">
        <v>924</v>
      </c>
      <c r="B991" s="52" t="s">
        <v>353</v>
      </c>
      <c r="C991" s="3" t="s">
        <v>77</v>
      </c>
      <c r="D991" s="60" t="s">
        <v>734</v>
      </c>
      <c r="E991" s="61" t="s">
        <v>203</v>
      </c>
      <c r="F991" s="3"/>
      <c r="G991" s="8"/>
      <c r="H991" s="8"/>
      <c r="I991" s="8"/>
    </row>
    <row r="992" spans="1:9" x14ac:dyDescent="0.25">
      <c r="A992" s="3" t="s">
        <v>924</v>
      </c>
      <c r="B992" s="52" t="s">
        <v>353</v>
      </c>
      <c r="C992" s="3" t="s">
        <v>96</v>
      </c>
      <c r="D992" s="47" t="e">
        <f>I992&amp;".txt"</f>
        <v>#REF!</v>
      </c>
      <c r="E992" s="47" t="s">
        <v>81</v>
      </c>
      <c r="F992" s="47" t="s">
        <v>1049</v>
      </c>
      <c r="G992" s="16" t="s">
        <v>29</v>
      </c>
      <c r="H992" s="16" t="s">
        <v>353</v>
      </c>
      <c r="I992" s="16" t="e">
        <f>VLOOKUP(A992&amp;G992&amp;H992,#REF!,2,FALSE)</f>
        <v>#REF!</v>
      </c>
    </row>
    <row r="993" spans="1:9" x14ac:dyDescent="0.25">
      <c r="A993" s="3" t="s">
        <v>924</v>
      </c>
      <c r="B993" s="52" t="s">
        <v>353</v>
      </c>
      <c r="C993" s="3" t="s">
        <v>96</v>
      </c>
      <c r="D993" s="47" t="e">
        <f>I993&amp;".txt"</f>
        <v>#REF!</v>
      </c>
      <c r="E993" s="47" t="s">
        <v>81</v>
      </c>
      <c r="F993" s="47" t="s">
        <v>1307</v>
      </c>
      <c r="G993" s="16" t="s">
        <v>29</v>
      </c>
      <c r="H993" s="16" t="s">
        <v>1308</v>
      </c>
      <c r="I993" s="16" t="e">
        <f>VLOOKUP(A993&amp;G993&amp;H993,#REF!,2,FALSE)</f>
        <v>#REF!</v>
      </c>
    </row>
    <row r="994" spans="1:9" x14ac:dyDescent="0.25">
      <c r="A994" s="3" t="s">
        <v>924</v>
      </c>
      <c r="B994" s="52" t="s">
        <v>353</v>
      </c>
      <c r="C994" s="3" t="s">
        <v>95</v>
      </c>
      <c r="D994" s="47" t="e">
        <f>I994&amp;".txt"</f>
        <v>#REF!</v>
      </c>
      <c r="E994" s="47" t="s">
        <v>81</v>
      </c>
      <c r="F994" s="3"/>
      <c r="G994" s="16" t="s">
        <v>29</v>
      </c>
      <c r="H994" s="16" t="s">
        <v>353</v>
      </c>
      <c r="I994" s="16" t="e">
        <f>VLOOKUP(A994&amp;G994&amp;H994,#REF!,2,FALSE)</f>
        <v>#REF!</v>
      </c>
    </row>
    <row r="995" spans="1:9" x14ac:dyDescent="0.25">
      <c r="A995" s="3" t="s">
        <v>924</v>
      </c>
      <c r="B995" s="62" t="s">
        <v>1071</v>
      </c>
      <c r="C995" s="3" t="s">
        <v>77</v>
      </c>
      <c r="D995" s="53" t="s">
        <v>81</v>
      </c>
      <c r="E995" s="53" t="s">
        <v>81</v>
      </c>
      <c r="F995" s="3"/>
      <c r="G995" s="8"/>
      <c r="H995" s="8"/>
      <c r="I995" s="8"/>
    </row>
    <row r="996" spans="1:9" x14ac:dyDescent="0.25">
      <c r="A996" s="3" t="s">
        <v>924</v>
      </c>
      <c r="B996" s="62" t="s">
        <v>1071</v>
      </c>
      <c r="C996" s="3" t="s">
        <v>77</v>
      </c>
      <c r="D996" s="53" t="s">
        <v>260</v>
      </c>
      <c r="E996" s="53" t="s">
        <v>79</v>
      </c>
      <c r="F996" s="3"/>
      <c r="G996" s="8"/>
      <c r="H996" s="8"/>
      <c r="I996" s="8"/>
    </row>
    <row r="997" spans="1:9" x14ac:dyDescent="0.25">
      <c r="A997" s="3" t="s">
        <v>924</v>
      </c>
      <c r="B997" s="62" t="s">
        <v>1071</v>
      </c>
      <c r="C997" s="3" t="s">
        <v>77</v>
      </c>
      <c r="D997" s="53" t="s">
        <v>962</v>
      </c>
      <c r="E997" s="53" t="s">
        <v>962</v>
      </c>
      <c r="F997" s="3"/>
      <c r="G997" s="8"/>
      <c r="H997" s="8"/>
      <c r="I997" s="8"/>
    </row>
    <row r="998" spans="1:9" x14ac:dyDescent="0.25">
      <c r="A998" s="3" t="s">
        <v>924</v>
      </c>
      <c r="B998" s="62" t="s">
        <v>1071</v>
      </c>
      <c r="C998" s="3" t="s">
        <v>77</v>
      </c>
      <c r="D998" s="53" t="s">
        <v>87</v>
      </c>
      <c r="E998" s="53" t="s">
        <v>87</v>
      </c>
      <c r="F998" s="3"/>
      <c r="G998" s="8"/>
      <c r="H998" s="8"/>
      <c r="I998" s="8"/>
    </row>
    <row r="999" spans="1:9" x14ac:dyDescent="0.25">
      <c r="A999" s="3" t="s">
        <v>924</v>
      </c>
      <c r="B999" s="62" t="s">
        <v>1071</v>
      </c>
      <c r="C999" s="3" t="s">
        <v>77</v>
      </c>
      <c r="D999" s="53" t="s">
        <v>1072</v>
      </c>
      <c r="E999" s="53" t="s">
        <v>87</v>
      </c>
      <c r="F999" s="3"/>
      <c r="G999" s="8"/>
      <c r="H999" s="8"/>
      <c r="I999" s="8"/>
    </row>
    <row r="1000" spans="1:9" x14ac:dyDescent="0.25">
      <c r="A1000" s="3" t="s">
        <v>924</v>
      </c>
      <c r="B1000" s="62" t="s">
        <v>1071</v>
      </c>
      <c r="C1000" s="3" t="s">
        <v>77</v>
      </c>
      <c r="D1000" s="55" t="s">
        <v>419</v>
      </c>
      <c r="E1000" s="55" t="s">
        <v>1037</v>
      </c>
      <c r="F1000" s="3"/>
      <c r="G1000" s="8"/>
      <c r="H1000" s="8"/>
      <c r="I1000" s="8"/>
    </row>
    <row r="1001" spans="1:9" x14ac:dyDescent="0.25">
      <c r="A1001" s="3" t="s">
        <v>924</v>
      </c>
      <c r="B1001" s="62" t="s">
        <v>1071</v>
      </c>
      <c r="C1001" s="3" t="s">
        <v>77</v>
      </c>
      <c r="D1001" s="55" t="s">
        <v>285</v>
      </c>
      <c r="E1001" s="55"/>
      <c r="F1001" s="3"/>
      <c r="G1001" s="8"/>
      <c r="H1001" s="8"/>
      <c r="I1001" s="8"/>
    </row>
    <row r="1002" spans="1:9" x14ac:dyDescent="0.25">
      <c r="A1002" s="3" t="s">
        <v>924</v>
      </c>
      <c r="B1002" s="62" t="s">
        <v>1071</v>
      </c>
      <c r="C1002" s="3" t="s">
        <v>77</v>
      </c>
      <c r="D1002" s="55" t="s">
        <v>421</v>
      </c>
      <c r="E1002" s="55" t="s">
        <v>1037</v>
      </c>
      <c r="F1002" s="3"/>
      <c r="G1002" s="8"/>
      <c r="H1002" s="8"/>
      <c r="I1002" s="8"/>
    </row>
    <row r="1003" spans="1:9" x14ac:dyDescent="0.25">
      <c r="A1003" s="3" t="s">
        <v>924</v>
      </c>
      <c r="B1003" s="62" t="s">
        <v>1071</v>
      </c>
      <c r="C1003" s="3" t="s">
        <v>77</v>
      </c>
      <c r="D1003" s="55" t="s">
        <v>577</v>
      </c>
      <c r="E1003" s="55" t="s">
        <v>1088</v>
      </c>
      <c r="F1003" s="3"/>
      <c r="G1003" s="8"/>
      <c r="H1003" s="8"/>
      <c r="I1003" s="8"/>
    </row>
    <row r="1004" spans="1:9" x14ac:dyDescent="0.25">
      <c r="A1004" s="3" t="s">
        <v>924</v>
      </c>
      <c r="B1004" s="62" t="s">
        <v>1071</v>
      </c>
      <c r="C1004" s="3" t="s">
        <v>77</v>
      </c>
      <c r="D1004" s="55" t="s">
        <v>90</v>
      </c>
      <c r="E1004" s="55"/>
      <c r="F1004" s="3"/>
      <c r="G1004" s="8"/>
      <c r="H1004" s="8"/>
      <c r="I1004" s="8"/>
    </row>
    <row r="1005" spans="1:9" x14ac:dyDescent="0.25">
      <c r="A1005" s="3" t="s">
        <v>924</v>
      </c>
      <c r="B1005" s="62" t="s">
        <v>1071</v>
      </c>
      <c r="C1005" s="3" t="s">
        <v>77</v>
      </c>
      <c r="D1005" s="55" t="s">
        <v>1073</v>
      </c>
      <c r="E1005" s="55" t="s">
        <v>996</v>
      </c>
      <c r="F1005" s="3"/>
      <c r="G1005" s="8"/>
      <c r="H1005" s="8"/>
      <c r="I1005" s="8"/>
    </row>
    <row r="1006" spans="1:9" x14ac:dyDescent="0.25">
      <c r="A1006" s="3" t="s">
        <v>924</v>
      </c>
      <c r="B1006" s="62" t="s">
        <v>1071</v>
      </c>
      <c r="C1006" s="3" t="s">
        <v>77</v>
      </c>
      <c r="D1006" s="55" t="s">
        <v>1074</v>
      </c>
      <c r="E1006" s="55"/>
      <c r="F1006" s="3"/>
      <c r="G1006" s="8"/>
      <c r="H1006" s="8"/>
      <c r="I1006" s="8"/>
    </row>
    <row r="1007" spans="1:9" ht="30" x14ac:dyDescent="0.25">
      <c r="A1007" s="3" t="s">
        <v>924</v>
      </c>
      <c r="B1007" s="62" t="s">
        <v>1071</v>
      </c>
      <c r="C1007" s="3" t="s">
        <v>77</v>
      </c>
      <c r="D1007" s="55" t="s">
        <v>1087</v>
      </c>
      <c r="E1007" s="55" t="s">
        <v>1206</v>
      </c>
      <c r="F1007" s="3"/>
      <c r="G1007" s="8"/>
      <c r="H1007" s="8"/>
      <c r="I1007" s="8"/>
    </row>
    <row r="1008" spans="1:9" x14ac:dyDescent="0.25">
      <c r="A1008" s="3" t="s">
        <v>924</v>
      </c>
      <c r="B1008" s="62" t="s">
        <v>1071</v>
      </c>
      <c r="C1008" s="3" t="s">
        <v>77</v>
      </c>
      <c r="D1008" s="55" t="s">
        <v>1076</v>
      </c>
      <c r="E1008" s="55" t="s">
        <v>333</v>
      </c>
      <c r="F1008" s="3"/>
      <c r="G1008" s="8"/>
      <c r="H1008" s="8"/>
      <c r="I1008" s="8"/>
    </row>
    <row r="1009" spans="1:9" x14ac:dyDescent="0.25">
      <c r="A1009" s="3" t="s">
        <v>924</v>
      </c>
      <c r="B1009" s="62" t="s">
        <v>1071</v>
      </c>
      <c r="C1009" s="3" t="s">
        <v>77</v>
      </c>
      <c r="D1009" s="55" t="s">
        <v>1075</v>
      </c>
      <c r="E1009" s="55" t="s">
        <v>1089</v>
      </c>
      <c r="F1009" s="3"/>
      <c r="G1009" s="8"/>
      <c r="H1009" s="8"/>
      <c r="I1009" s="8"/>
    </row>
    <row r="1010" spans="1:9" x14ac:dyDescent="0.25">
      <c r="A1010" s="3" t="s">
        <v>924</v>
      </c>
      <c r="B1010" s="62" t="s">
        <v>1071</v>
      </c>
      <c r="C1010" s="3" t="s">
        <v>77</v>
      </c>
      <c r="D1010" s="63" t="s">
        <v>97</v>
      </c>
      <c r="E1010" s="55" t="s">
        <v>98</v>
      </c>
      <c r="F1010" s="3"/>
      <c r="G1010" s="8"/>
      <c r="H1010" s="8"/>
      <c r="I1010" s="8"/>
    </row>
    <row r="1011" spans="1:9" x14ac:dyDescent="0.25">
      <c r="A1011" s="3" t="s">
        <v>924</v>
      </c>
      <c r="B1011" s="62" t="s">
        <v>1071</v>
      </c>
      <c r="C1011" s="3" t="s">
        <v>95</v>
      </c>
      <c r="D1011" s="47" t="e">
        <f>I1011&amp;".txt"</f>
        <v>#REF!</v>
      </c>
      <c r="E1011" s="47" t="s">
        <v>81</v>
      </c>
      <c r="F1011" s="3"/>
      <c r="G1011" s="16" t="s">
        <v>29</v>
      </c>
      <c r="H1011" s="16" t="s">
        <v>353</v>
      </c>
      <c r="I1011" s="16" t="e">
        <f>VLOOKUP(A1011&amp;G1011&amp;H1011,#REF!,2,FALSE)</f>
        <v>#REF!</v>
      </c>
    </row>
    <row r="1012" spans="1:9" x14ac:dyDescent="0.25">
      <c r="G1012" s="8"/>
      <c r="H1012" s="8"/>
      <c r="I1012" s="8"/>
    </row>
    <row r="1013" spans="1:9" x14ac:dyDescent="0.25">
      <c r="A1013" s="3" t="s">
        <v>1376</v>
      </c>
      <c r="B1013" s="52" t="s">
        <v>353</v>
      </c>
      <c r="C1013" s="3" t="s">
        <v>77</v>
      </c>
      <c r="D1013" s="16" t="s">
        <v>84</v>
      </c>
      <c r="E1013" s="16" t="s">
        <v>81</v>
      </c>
      <c r="F1013" s="3"/>
      <c r="G1013" s="8"/>
      <c r="H1013" s="8"/>
      <c r="I1013" s="8"/>
    </row>
    <row r="1014" spans="1:9" x14ac:dyDescent="0.25">
      <c r="A1014" s="3" t="s">
        <v>1376</v>
      </c>
      <c r="B1014" s="52" t="s">
        <v>353</v>
      </c>
      <c r="C1014" s="3" t="s">
        <v>77</v>
      </c>
      <c r="D1014" s="16" t="s">
        <v>82</v>
      </c>
      <c r="E1014" s="16" t="s">
        <v>79</v>
      </c>
      <c r="F1014" s="3"/>
      <c r="G1014" s="8"/>
      <c r="H1014" s="8"/>
      <c r="I1014" s="8"/>
    </row>
    <row r="1015" spans="1:9" x14ac:dyDescent="0.25">
      <c r="A1015" s="3" t="s">
        <v>1376</v>
      </c>
      <c r="B1015" s="52" t="s">
        <v>353</v>
      </c>
      <c r="C1015" s="3" t="s">
        <v>77</v>
      </c>
      <c r="D1015" s="96" t="s">
        <v>85</v>
      </c>
      <c r="E1015" s="96" t="s">
        <v>85</v>
      </c>
      <c r="F1015" s="3"/>
      <c r="G1015" s="8"/>
      <c r="H1015" s="8"/>
      <c r="I1015" s="8"/>
    </row>
    <row r="1016" spans="1:9" x14ac:dyDescent="0.25">
      <c r="A1016" s="3" t="s">
        <v>1376</v>
      </c>
      <c r="B1016" s="52" t="s">
        <v>353</v>
      </c>
      <c r="C1016" s="3" t="s">
        <v>77</v>
      </c>
      <c r="D1016" s="16" t="s">
        <v>86</v>
      </c>
      <c r="E1016" s="16" t="s">
        <v>87</v>
      </c>
      <c r="F1016" s="3"/>
      <c r="G1016" s="8"/>
      <c r="H1016" s="8"/>
      <c r="I1016" s="8"/>
    </row>
    <row r="1017" spans="1:9" x14ac:dyDescent="0.25">
      <c r="A1017" s="3" t="s">
        <v>1376</v>
      </c>
      <c r="B1017" s="52" t="s">
        <v>353</v>
      </c>
      <c r="C1017" s="3" t="s">
        <v>77</v>
      </c>
      <c r="D1017" s="13" t="s">
        <v>88</v>
      </c>
      <c r="E1017" s="13" t="s">
        <v>88</v>
      </c>
      <c r="F1017" s="3"/>
      <c r="G1017" s="8"/>
      <c r="H1017" s="8"/>
      <c r="I1017" s="8"/>
    </row>
    <row r="1018" spans="1:9" x14ac:dyDescent="0.25">
      <c r="A1018" s="3" t="s">
        <v>1376</v>
      </c>
      <c r="B1018" s="52" t="s">
        <v>353</v>
      </c>
      <c r="C1018" s="3" t="s">
        <v>77</v>
      </c>
      <c r="D1018" s="13" t="s">
        <v>99</v>
      </c>
      <c r="E1018" s="13" t="s">
        <v>99</v>
      </c>
      <c r="F1018" s="3"/>
      <c r="G1018" s="8"/>
      <c r="H1018" s="8"/>
      <c r="I1018" s="8"/>
    </row>
    <row r="1019" spans="1:9" x14ac:dyDescent="0.25">
      <c r="A1019" s="3" t="s">
        <v>1376</v>
      </c>
      <c r="B1019" s="52" t="s">
        <v>353</v>
      </c>
      <c r="C1019" s="3" t="s">
        <v>77</v>
      </c>
      <c r="D1019" s="97" t="s">
        <v>100</v>
      </c>
      <c r="E1019" s="97" t="s">
        <v>100</v>
      </c>
      <c r="F1019" s="3"/>
      <c r="G1019" s="8"/>
      <c r="H1019" s="8"/>
      <c r="I1019" s="8"/>
    </row>
    <row r="1020" spans="1:9" x14ac:dyDescent="0.25">
      <c r="A1020" s="3" t="s">
        <v>1376</v>
      </c>
      <c r="B1020" s="52" t="s">
        <v>353</v>
      </c>
      <c r="C1020" s="3" t="s">
        <v>77</v>
      </c>
      <c r="D1020" s="16" t="s">
        <v>102</v>
      </c>
      <c r="E1020" s="16" t="s">
        <v>1390</v>
      </c>
      <c r="F1020" s="3"/>
      <c r="G1020" s="8"/>
      <c r="H1020" s="8"/>
      <c r="I1020" s="8"/>
    </row>
    <row r="1021" spans="1:9" ht="30" x14ac:dyDescent="0.25">
      <c r="A1021" s="3" t="s">
        <v>1376</v>
      </c>
      <c r="B1021" s="52" t="s">
        <v>353</v>
      </c>
      <c r="C1021" s="3" t="s">
        <v>77</v>
      </c>
      <c r="D1021" s="13" t="s">
        <v>354</v>
      </c>
      <c r="E1021" s="13" t="s">
        <v>419</v>
      </c>
      <c r="F1021" s="3"/>
      <c r="G1021" s="8"/>
      <c r="H1021" s="8"/>
      <c r="I1021" s="8"/>
    </row>
    <row r="1022" spans="1:9" x14ac:dyDescent="0.25">
      <c r="A1022" s="3" t="s">
        <v>1376</v>
      </c>
      <c r="B1022" s="52" t="s">
        <v>353</v>
      </c>
      <c r="C1022" s="3" t="s">
        <v>77</v>
      </c>
      <c r="D1022" s="16" t="s">
        <v>107</v>
      </c>
      <c r="E1022" s="16" t="s">
        <v>107</v>
      </c>
      <c r="F1022" s="3"/>
      <c r="G1022" s="8"/>
      <c r="H1022" s="8"/>
      <c r="I1022" s="8"/>
    </row>
    <row r="1023" spans="1:9" x14ac:dyDescent="0.25">
      <c r="A1023" s="3" t="s">
        <v>1376</v>
      </c>
      <c r="B1023" s="52" t="s">
        <v>353</v>
      </c>
      <c r="C1023" s="3" t="s">
        <v>77</v>
      </c>
      <c r="D1023" s="16" t="s">
        <v>428</v>
      </c>
      <c r="E1023" s="16" t="s">
        <v>428</v>
      </c>
      <c r="F1023" s="3"/>
      <c r="G1023" s="8"/>
      <c r="H1023" s="8"/>
      <c r="I1023" s="8"/>
    </row>
    <row r="1024" spans="1:9" x14ac:dyDescent="0.25">
      <c r="A1024" s="3" t="s">
        <v>1376</v>
      </c>
      <c r="B1024" s="52" t="s">
        <v>353</v>
      </c>
      <c r="C1024" s="3" t="s">
        <v>77</v>
      </c>
      <c r="D1024" s="16" t="s">
        <v>356</v>
      </c>
      <c r="E1024" s="16" t="s">
        <v>356</v>
      </c>
      <c r="F1024" s="3"/>
      <c r="G1024" s="8"/>
      <c r="H1024" s="8"/>
      <c r="I1024" s="8"/>
    </row>
    <row r="1025" spans="1:9" x14ac:dyDescent="0.25">
      <c r="A1025" s="3" t="s">
        <v>1376</v>
      </c>
      <c r="B1025" s="52" t="s">
        <v>353</v>
      </c>
      <c r="C1025" s="3" t="s">
        <v>77</v>
      </c>
      <c r="D1025" s="16" t="s">
        <v>357</v>
      </c>
      <c r="E1025" s="16" t="s">
        <v>357</v>
      </c>
      <c r="F1025" s="3"/>
      <c r="G1025" s="8"/>
      <c r="H1025" s="8"/>
      <c r="I1025" s="8"/>
    </row>
    <row r="1026" spans="1:9" x14ac:dyDescent="0.25">
      <c r="A1026" s="3" t="s">
        <v>1376</v>
      </c>
      <c r="B1026" s="52" t="s">
        <v>353</v>
      </c>
      <c r="C1026" s="3" t="s">
        <v>77</v>
      </c>
      <c r="D1026" s="16" t="s">
        <v>358</v>
      </c>
      <c r="E1026" s="16" t="s">
        <v>358</v>
      </c>
      <c r="F1026" s="3"/>
      <c r="G1026" s="8"/>
      <c r="H1026" s="8"/>
      <c r="I1026" s="8"/>
    </row>
    <row r="1027" spans="1:9" x14ac:dyDescent="0.25">
      <c r="A1027" s="3" t="s">
        <v>1376</v>
      </c>
      <c r="B1027" s="52" t="s">
        <v>353</v>
      </c>
      <c r="C1027" s="3" t="s">
        <v>77</v>
      </c>
      <c r="D1027" s="16" t="s">
        <v>359</v>
      </c>
      <c r="E1027" s="16" t="s">
        <v>359</v>
      </c>
      <c r="F1027" s="3"/>
      <c r="G1027" s="8"/>
      <c r="H1027" s="8"/>
      <c r="I1027" s="8"/>
    </row>
    <row r="1028" spans="1:9" x14ac:dyDescent="0.25">
      <c r="A1028" s="3" t="s">
        <v>1376</v>
      </c>
      <c r="B1028" s="52" t="s">
        <v>353</v>
      </c>
      <c r="C1028" s="3" t="s">
        <v>77</v>
      </c>
      <c r="D1028" s="16" t="s">
        <v>360</v>
      </c>
      <c r="E1028" s="16" t="s">
        <v>360</v>
      </c>
      <c r="F1028" s="3"/>
      <c r="G1028" s="8"/>
      <c r="H1028" s="8"/>
      <c r="I1028" s="8"/>
    </row>
    <row r="1029" spans="1:9" x14ac:dyDescent="0.25">
      <c r="A1029" s="3" t="s">
        <v>1376</v>
      </c>
      <c r="B1029" s="52" t="s">
        <v>353</v>
      </c>
      <c r="C1029" s="3" t="s">
        <v>77</v>
      </c>
      <c r="D1029" s="16" t="s">
        <v>361</v>
      </c>
      <c r="E1029" s="16" t="s">
        <v>361</v>
      </c>
      <c r="F1029" s="3"/>
      <c r="G1029" s="8"/>
      <c r="H1029" s="8"/>
      <c r="I1029" s="8"/>
    </row>
    <row r="1030" spans="1:9" x14ac:dyDescent="0.25">
      <c r="A1030" s="3" t="s">
        <v>1376</v>
      </c>
      <c r="B1030" s="52" t="s">
        <v>353</v>
      </c>
      <c r="C1030" s="3" t="s">
        <v>77</v>
      </c>
      <c r="D1030" s="60" t="s">
        <v>729</v>
      </c>
      <c r="E1030" s="61" t="s">
        <v>203</v>
      </c>
    </row>
    <row r="1031" spans="1:9" x14ac:dyDescent="0.25">
      <c r="A1031" s="3" t="s">
        <v>1376</v>
      </c>
      <c r="B1031" s="52" t="s">
        <v>353</v>
      </c>
      <c r="C1031" s="3" t="s">
        <v>77</v>
      </c>
      <c r="D1031" s="60" t="s">
        <v>730</v>
      </c>
      <c r="E1031" s="61" t="s">
        <v>203</v>
      </c>
      <c r="F1031" s="8"/>
    </row>
    <row r="1032" spans="1:9" x14ac:dyDescent="0.25">
      <c r="A1032" s="3" t="s">
        <v>1376</v>
      </c>
      <c r="B1032" s="52" t="s">
        <v>353</v>
      </c>
      <c r="C1032" s="3" t="s">
        <v>77</v>
      </c>
      <c r="D1032" s="60" t="s">
        <v>731</v>
      </c>
      <c r="E1032" s="61" t="s">
        <v>203</v>
      </c>
      <c r="F1032" s="8"/>
    </row>
    <row r="1033" spans="1:9" x14ac:dyDescent="0.25">
      <c r="A1033" s="3" t="s">
        <v>1376</v>
      </c>
      <c r="B1033" s="52" t="s">
        <v>353</v>
      </c>
      <c r="C1033" s="3" t="s">
        <v>77</v>
      </c>
      <c r="D1033" s="60" t="s">
        <v>732</v>
      </c>
      <c r="E1033" s="61" t="s">
        <v>203</v>
      </c>
      <c r="F1033" s="8"/>
    </row>
    <row r="1034" spans="1:9" x14ac:dyDescent="0.25">
      <c r="A1034" s="3" t="s">
        <v>1376</v>
      </c>
      <c r="B1034" s="52" t="s">
        <v>353</v>
      </c>
      <c r="C1034" s="3" t="s">
        <v>77</v>
      </c>
      <c r="D1034" s="60" t="s">
        <v>733</v>
      </c>
      <c r="E1034" s="61" t="s">
        <v>203</v>
      </c>
      <c r="F1034" s="8"/>
    </row>
    <row r="1035" spans="1:9" x14ac:dyDescent="0.25">
      <c r="A1035" s="3" t="s">
        <v>1376</v>
      </c>
      <c r="B1035" s="52" t="s">
        <v>353</v>
      </c>
      <c r="C1035" s="3" t="s">
        <v>77</v>
      </c>
      <c r="D1035" s="60" t="s">
        <v>734</v>
      </c>
      <c r="E1035" s="61" t="s">
        <v>203</v>
      </c>
      <c r="F1035" s="8"/>
    </row>
    <row r="1036" spans="1:9" ht="30" x14ac:dyDescent="0.25">
      <c r="A1036" s="3" t="s">
        <v>1376</v>
      </c>
      <c r="B1036" s="52" t="s">
        <v>353</v>
      </c>
      <c r="C1036" s="3" t="s">
        <v>95</v>
      </c>
      <c r="D1036" s="47" t="e">
        <f>I1036&amp;".txt"</f>
        <v>#REF!</v>
      </c>
      <c r="E1036" s="47" t="s">
        <v>81</v>
      </c>
      <c r="F1036" s="3"/>
      <c r="G1036" s="16" t="s">
        <v>29</v>
      </c>
      <c r="H1036" s="16" t="s">
        <v>59</v>
      </c>
      <c r="I1036" s="16" t="e">
        <f>VLOOKUP(A1036&amp;G1036&amp;H1036,#REF!,2,FALSE)</f>
        <v>#REF!</v>
      </c>
    </row>
    <row r="1037" spans="1:9" x14ac:dyDescent="0.25">
      <c r="G1037" s="8"/>
      <c r="H1037" s="8"/>
      <c r="I1037" s="8"/>
    </row>
    <row r="1038" spans="1:9" x14ac:dyDescent="0.25">
      <c r="A1038" s="4"/>
      <c r="B1038" s="4"/>
      <c r="C1038" s="4"/>
      <c r="D1038" s="4"/>
      <c r="E1038" s="4"/>
      <c r="F1038" s="4"/>
      <c r="G1038" s="8"/>
      <c r="H1038" s="8"/>
      <c r="I1038" s="8"/>
    </row>
    <row r="1039" spans="1:9" x14ac:dyDescent="0.25">
      <c r="A1039" s="4"/>
      <c r="B1039" s="4"/>
      <c r="C1039" s="4"/>
      <c r="D1039" s="4"/>
      <c r="E1039" s="4"/>
      <c r="F1039" s="4"/>
      <c r="G1039" s="8"/>
      <c r="H1039" s="8"/>
      <c r="I1039" s="8"/>
    </row>
    <row r="1040" spans="1:9" x14ac:dyDescent="0.25">
      <c r="A1040" s="4"/>
      <c r="B1040" s="4"/>
      <c r="C1040" s="4"/>
      <c r="D1040" s="16"/>
      <c r="E1040" s="16"/>
      <c r="F1040" s="4"/>
      <c r="G1040" s="8"/>
      <c r="H1040" s="8"/>
      <c r="I1040" s="8"/>
    </row>
    <row r="1041" spans="1:9" ht="15.75" x14ac:dyDescent="0.25">
      <c r="A1041" s="4" t="s">
        <v>13</v>
      </c>
      <c r="B1041" s="4" t="s">
        <v>30</v>
      </c>
      <c r="C1041" s="4" t="s">
        <v>77</v>
      </c>
      <c r="D1041" s="24" t="s">
        <v>110</v>
      </c>
      <c r="E1041" s="16" t="s">
        <v>81</v>
      </c>
      <c r="F1041" s="3"/>
      <c r="G1041" s="8"/>
      <c r="H1041" s="8"/>
      <c r="I1041" s="8"/>
    </row>
    <row r="1042" spans="1:9" ht="15.75" x14ac:dyDescent="0.25">
      <c r="A1042" s="4" t="s">
        <v>13</v>
      </c>
      <c r="B1042" s="4" t="s">
        <v>30</v>
      </c>
      <c r="C1042" s="4" t="s">
        <v>77</v>
      </c>
      <c r="D1042" s="24"/>
      <c r="E1042" s="16" t="s">
        <v>1</v>
      </c>
      <c r="F1042" s="3"/>
      <c r="G1042" s="8"/>
      <c r="H1042" s="8"/>
      <c r="I1042" s="8"/>
    </row>
    <row r="1043" spans="1:9" ht="15.75" x14ac:dyDescent="0.25">
      <c r="A1043" s="4" t="s">
        <v>13</v>
      </c>
      <c r="B1043" s="4" t="s">
        <v>30</v>
      </c>
      <c r="C1043" s="4" t="s">
        <v>77</v>
      </c>
      <c r="D1043" s="24" t="s">
        <v>220</v>
      </c>
      <c r="E1043" s="16" t="s">
        <v>242</v>
      </c>
      <c r="F1043" s="3"/>
      <c r="G1043" s="8"/>
      <c r="H1043" s="8"/>
      <c r="I1043" s="8"/>
    </row>
    <row r="1044" spans="1:9" ht="15.75" x14ac:dyDescent="0.25">
      <c r="A1044" s="4" t="s">
        <v>13</v>
      </c>
      <c r="B1044" s="4" t="s">
        <v>30</v>
      </c>
      <c r="C1044" s="4" t="s">
        <v>77</v>
      </c>
      <c r="D1044" s="24" t="s">
        <v>221</v>
      </c>
      <c r="E1044" s="16" t="s">
        <v>243</v>
      </c>
      <c r="F1044" s="3"/>
      <c r="G1044" s="8"/>
      <c r="H1044" s="8"/>
      <c r="I1044" s="8"/>
    </row>
    <row r="1045" spans="1:9" x14ac:dyDescent="0.25">
      <c r="A1045" s="4" t="s">
        <v>13</v>
      </c>
      <c r="B1045" s="4" t="s">
        <v>30</v>
      </c>
      <c r="C1045" s="4" t="s">
        <v>77</v>
      </c>
      <c r="D1045" s="22" t="s">
        <v>222</v>
      </c>
      <c r="E1045" s="22" t="s">
        <v>203</v>
      </c>
      <c r="F1045" s="3"/>
      <c r="G1045" s="8"/>
      <c r="H1045" s="8"/>
      <c r="I1045" s="8"/>
    </row>
    <row r="1046" spans="1:9" ht="15.75" x14ac:dyDescent="0.25">
      <c r="A1046" s="4" t="s">
        <v>13</v>
      </c>
      <c r="B1046" s="4" t="s">
        <v>30</v>
      </c>
      <c r="C1046" s="4" t="s">
        <v>77</v>
      </c>
      <c r="D1046" s="24" t="s">
        <v>223</v>
      </c>
      <c r="E1046" s="16" t="s">
        <v>223</v>
      </c>
      <c r="F1046" s="3"/>
      <c r="G1046" s="8"/>
      <c r="H1046" s="8"/>
      <c r="I1046" s="8"/>
    </row>
    <row r="1047" spans="1:9" ht="15.75" x14ac:dyDescent="0.25">
      <c r="A1047" s="4" t="s">
        <v>13</v>
      </c>
      <c r="B1047" s="4" t="s">
        <v>30</v>
      </c>
      <c r="C1047" s="4" t="s">
        <v>77</v>
      </c>
      <c r="D1047" s="24" t="s">
        <v>224</v>
      </c>
      <c r="E1047" s="16" t="s">
        <v>224</v>
      </c>
      <c r="F1047" s="3"/>
      <c r="G1047" s="8"/>
      <c r="H1047" s="8"/>
      <c r="I1047" s="8"/>
    </row>
    <row r="1048" spans="1:9" ht="15.75" x14ac:dyDescent="0.25">
      <c r="A1048" s="4" t="s">
        <v>13</v>
      </c>
      <c r="B1048" s="4" t="s">
        <v>30</v>
      </c>
      <c r="C1048" s="4" t="s">
        <v>77</v>
      </c>
      <c r="D1048" s="24" t="s">
        <v>155</v>
      </c>
      <c r="E1048" s="16" t="s">
        <v>155</v>
      </c>
      <c r="F1048" s="3"/>
      <c r="G1048" s="8"/>
      <c r="H1048" s="8"/>
      <c r="I1048" s="8"/>
    </row>
    <row r="1049" spans="1:9" ht="15.75" x14ac:dyDescent="0.25">
      <c r="A1049" s="4" t="s">
        <v>13</v>
      </c>
      <c r="B1049" s="4" t="s">
        <v>30</v>
      </c>
      <c r="C1049" s="4" t="s">
        <v>77</v>
      </c>
      <c r="D1049" s="24" t="s">
        <v>225</v>
      </c>
      <c r="E1049" s="16" t="s">
        <v>244</v>
      </c>
      <c r="F1049" s="3"/>
      <c r="G1049" s="8"/>
      <c r="H1049" s="8"/>
      <c r="I1049" s="8"/>
    </row>
    <row r="1050" spans="1:9" ht="15.75" x14ac:dyDescent="0.25">
      <c r="A1050" s="4" t="s">
        <v>13</v>
      </c>
      <c r="B1050" s="4" t="s">
        <v>30</v>
      </c>
      <c r="C1050" s="4" t="s">
        <v>77</v>
      </c>
      <c r="D1050" s="24" t="s">
        <v>226</v>
      </c>
      <c r="E1050" s="16" t="s">
        <v>245</v>
      </c>
      <c r="F1050" s="3"/>
      <c r="G1050" s="8"/>
      <c r="H1050" s="8"/>
      <c r="I1050" s="8"/>
    </row>
    <row r="1051" spans="1:9" ht="15.75" x14ac:dyDescent="0.25">
      <c r="A1051" s="4" t="s">
        <v>13</v>
      </c>
      <c r="B1051" s="4" t="s">
        <v>30</v>
      </c>
      <c r="C1051" s="4" t="s">
        <v>77</v>
      </c>
      <c r="D1051" s="24" t="s">
        <v>227</v>
      </c>
      <c r="E1051" s="16" t="s">
        <v>246</v>
      </c>
      <c r="F1051" s="3"/>
      <c r="G1051" s="8"/>
      <c r="H1051" s="8"/>
      <c r="I1051" s="8"/>
    </row>
    <row r="1052" spans="1:9" ht="15.75" x14ac:dyDescent="0.25">
      <c r="A1052" s="4" t="s">
        <v>13</v>
      </c>
      <c r="B1052" s="4" t="s">
        <v>30</v>
      </c>
      <c r="C1052" s="4" t="s">
        <v>77</v>
      </c>
      <c r="D1052" s="24" t="s">
        <v>228</v>
      </c>
      <c r="E1052" s="16" t="s">
        <v>247</v>
      </c>
      <c r="F1052" s="3"/>
      <c r="G1052" s="8"/>
      <c r="H1052" s="8"/>
      <c r="I1052" s="8"/>
    </row>
    <row r="1053" spans="1:9" ht="15.75" x14ac:dyDescent="0.25">
      <c r="A1053" s="4" t="s">
        <v>13</v>
      </c>
      <c r="B1053" s="4" t="s">
        <v>30</v>
      </c>
      <c r="C1053" s="4" t="s">
        <v>77</v>
      </c>
      <c r="D1053" s="24" t="s">
        <v>229</v>
      </c>
      <c r="E1053" s="16" t="s">
        <v>229</v>
      </c>
      <c r="F1053" s="3"/>
      <c r="G1053" s="8"/>
      <c r="H1053" s="8"/>
      <c r="I1053" s="8"/>
    </row>
    <row r="1054" spans="1:9" ht="15.75" x14ac:dyDescent="0.25">
      <c r="A1054" s="4" t="s">
        <v>13</v>
      </c>
      <c r="B1054" s="4" t="s">
        <v>30</v>
      </c>
      <c r="C1054" s="4" t="s">
        <v>77</v>
      </c>
      <c r="D1054" s="24" t="s">
        <v>230</v>
      </c>
      <c r="E1054" s="16" t="s">
        <v>81</v>
      </c>
      <c r="F1054" s="16" t="s">
        <v>240</v>
      </c>
      <c r="G1054" s="8"/>
      <c r="H1054" s="8"/>
      <c r="I1054" s="8"/>
    </row>
    <row r="1055" spans="1:9" ht="15.75" x14ac:dyDescent="0.25">
      <c r="A1055" s="4" t="s">
        <v>13</v>
      </c>
      <c r="B1055" s="4" t="s">
        <v>30</v>
      </c>
      <c r="C1055" s="4" t="s">
        <v>77</v>
      </c>
      <c r="D1055" s="24" t="s">
        <v>231</v>
      </c>
      <c r="E1055" s="16" t="s">
        <v>231</v>
      </c>
      <c r="F1055" s="3"/>
      <c r="G1055" s="8"/>
      <c r="H1055" s="8"/>
      <c r="I1055" s="8"/>
    </row>
    <row r="1056" spans="1:9" ht="15.75" x14ac:dyDescent="0.25">
      <c r="A1056" s="4" t="s">
        <v>13</v>
      </c>
      <c r="B1056" s="4" t="s">
        <v>30</v>
      </c>
      <c r="C1056" s="4" t="s">
        <v>77</v>
      </c>
      <c r="D1056" s="24" t="s">
        <v>232</v>
      </c>
      <c r="E1056" s="16" t="s">
        <v>81</v>
      </c>
      <c r="F1056" s="16" t="s">
        <v>241</v>
      </c>
      <c r="G1056" s="8"/>
      <c r="H1056" s="8"/>
      <c r="I1056" s="8"/>
    </row>
    <row r="1057" spans="1:9" ht="15.75" x14ac:dyDescent="0.25">
      <c r="A1057" s="4" t="s">
        <v>13</v>
      </c>
      <c r="B1057" s="4" t="s">
        <v>30</v>
      </c>
      <c r="C1057" s="4" t="s">
        <v>77</v>
      </c>
      <c r="D1057" s="24" t="s">
        <v>233</v>
      </c>
      <c r="E1057" s="16" t="s">
        <v>87</v>
      </c>
      <c r="F1057" s="3"/>
      <c r="G1057" s="8"/>
      <c r="H1057" s="8"/>
      <c r="I1057" s="8"/>
    </row>
    <row r="1058" spans="1:9" ht="15.75" x14ac:dyDescent="0.25">
      <c r="A1058" s="4" t="s">
        <v>13</v>
      </c>
      <c r="B1058" s="4" t="s">
        <v>30</v>
      </c>
      <c r="C1058" s="4" t="s">
        <v>77</v>
      </c>
      <c r="D1058" s="24" t="s">
        <v>234</v>
      </c>
      <c r="E1058" s="16" t="s">
        <v>248</v>
      </c>
      <c r="F1058" s="3"/>
      <c r="G1058" s="8"/>
      <c r="H1058" s="8"/>
      <c r="I1058" s="8"/>
    </row>
    <row r="1059" spans="1:9" ht="15.75" x14ac:dyDescent="0.25">
      <c r="A1059" s="4" t="s">
        <v>13</v>
      </c>
      <c r="B1059" s="4" t="s">
        <v>30</v>
      </c>
      <c r="C1059" s="4" t="s">
        <v>77</v>
      </c>
      <c r="D1059" s="24" t="s">
        <v>235</v>
      </c>
      <c r="E1059" s="16" t="s">
        <v>249</v>
      </c>
      <c r="F1059" s="3"/>
      <c r="G1059" s="8"/>
      <c r="H1059" s="8"/>
      <c r="I1059" s="8"/>
    </row>
    <row r="1060" spans="1:9" ht="15.75" x14ac:dyDescent="0.25">
      <c r="A1060" s="4" t="s">
        <v>13</v>
      </c>
      <c r="B1060" s="4" t="s">
        <v>30</v>
      </c>
      <c r="C1060" s="4" t="s">
        <v>77</v>
      </c>
      <c r="D1060" s="24" t="s">
        <v>236</v>
      </c>
      <c r="E1060" s="16" t="s">
        <v>250</v>
      </c>
      <c r="F1060" s="3"/>
      <c r="G1060" s="8"/>
      <c r="H1060" s="8"/>
      <c r="I1060" s="8"/>
    </row>
    <row r="1061" spans="1:9" ht="15.75" x14ac:dyDescent="0.25">
      <c r="A1061" s="4" t="s">
        <v>13</v>
      </c>
      <c r="B1061" s="4" t="s">
        <v>30</v>
      </c>
      <c r="C1061" s="4" t="s">
        <v>77</v>
      </c>
      <c r="D1061" s="24" t="s">
        <v>237</v>
      </c>
      <c r="E1061" s="16" t="s">
        <v>237</v>
      </c>
      <c r="F1061" s="3"/>
      <c r="G1061" s="8"/>
      <c r="H1061" s="8"/>
      <c r="I1061" s="8"/>
    </row>
    <row r="1062" spans="1:9" ht="15.75" x14ac:dyDescent="0.25">
      <c r="A1062" s="4" t="s">
        <v>13</v>
      </c>
      <c r="B1062" s="4" t="s">
        <v>30</v>
      </c>
      <c r="C1062" s="4" t="s">
        <v>77</v>
      </c>
      <c r="D1062" s="24" t="s">
        <v>172</v>
      </c>
      <c r="E1062" s="16" t="s">
        <v>251</v>
      </c>
      <c r="F1062" s="3"/>
      <c r="G1062" s="8"/>
      <c r="H1062" s="8"/>
      <c r="I1062" s="8"/>
    </row>
    <row r="1063" spans="1:9" ht="15.75" x14ac:dyDescent="0.25">
      <c r="A1063" s="4" t="s">
        <v>13</v>
      </c>
      <c r="B1063" s="4" t="s">
        <v>30</v>
      </c>
      <c r="C1063" s="4" t="s">
        <v>77</v>
      </c>
      <c r="D1063" s="24" t="s">
        <v>238</v>
      </c>
      <c r="E1063" s="16" t="s">
        <v>238</v>
      </c>
      <c r="F1063" s="3"/>
      <c r="G1063" s="8"/>
      <c r="H1063" s="8"/>
      <c r="I1063" s="8"/>
    </row>
    <row r="1064" spans="1:9" ht="15.75" x14ac:dyDescent="0.25">
      <c r="A1064" s="4" t="s">
        <v>13</v>
      </c>
      <c r="B1064" s="4" t="s">
        <v>30</v>
      </c>
      <c r="C1064" s="4" t="s">
        <v>77</v>
      </c>
      <c r="D1064" s="24" t="s">
        <v>239</v>
      </c>
      <c r="E1064" s="16" t="s">
        <v>239</v>
      </c>
      <c r="F1064" s="3"/>
      <c r="G1064" s="8"/>
      <c r="H1064" s="8"/>
      <c r="I1064" s="8"/>
    </row>
    <row r="1065" spans="1:9" x14ac:dyDescent="0.25">
      <c r="A1065" s="4" t="s">
        <v>13</v>
      </c>
      <c r="B1065" s="4" t="s">
        <v>30</v>
      </c>
      <c r="C1065" s="4" t="s">
        <v>95</v>
      </c>
      <c r="D1065" s="16" t="e">
        <f>I1065&amp;".txt"</f>
        <v>#REF!</v>
      </c>
      <c r="E1065" s="16"/>
      <c r="F1065" s="3"/>
      <c r="G1065" s="16" t="s">
        <v>30</v>
      </c>
      <c r="H1065" s="16" t="s">
        <v>30</v>
      </c>
      <c r="I1065" s="16" t="e">
        <f>VLOOKUP(A1065&amp;G1065&amp;H1065,#REF!,2,FALSE)</f>
        <v>#REF!</v>
      </c>
    </row>
    <row r="1066" spans="1:9" x14ac:dyDescent="0.25">
      <c r="A1066" s="4" t="s">
        <v>13</v>
      </c>
      <c r="B1066" s="4" t="s">
        <v>30</v>
      </c>
      <c r="C1066" s="4" t="s">
        <v>96</v>
      </c>
      <c r="D1066" s="16" t="e">
        <f>I1066&amp;".txt"</f>
        <v>#REF!</v>
      </c>
      <c r="E1066" s="16" t="s">
        <v>81</v>
      </c>
      <c r="F1066" s="16" t="s">
        <v>240</v>
      </c>
      <c r="G1066" s="16" t="s">
        <v>10</v>
      </c>
      <c r="H1066" s="16" t="s">
        <v>10</v>
      </c>
      <c r="I1066" s="16" t="e">
        <f>VLOOKUP(A1066&amp;G1066&amp;H1066,#REF!,2,FALSE)</f>
        <v>#REF!</v>
      </c>
    </row>
    <row r="1067" spans="1:9" x14ac:dyDescent="0.25">
      <c r="A1067" s="4" t="s">
        <v>13</v>
      </c>
      <c r="B1067" s="4" t="s">
        <v>30</v>
      </c>
      <c r="C1067" s="4" t="s">
        <v>96</v>
      </c>
      <c r="D1067" s="16" t="e">
        <f>I1067&amp;".txt"</f>
        <v>#REF!</v>
      </c>
      <c r="E1067" s="16" t="s">
        <v>81</v>
      </c>
      <c r="F1067" s="16" t="s">
        <v>241</v>
      </c>
      <c r="G1067" s="16" t="s">
        <v>36</v>
      </c>
      <c r="H1067" s="16" t="s">
        <v>36</v>
      </c>
      <c r="I1067" s="16" t="e">
        <f>VLOOKUP(A1067&amp;G1067&amp;H1067,#REF!,2,FALSE)</f>
        <v>#REF!</v>
      </c>
    </row>
    <row r="1068" spans="1:9" x14ac:dyDescent="0.25">
      <c r="A1068" s="4" t="s">
        <v>13</v>
      </c>
      <c r="B1068" s="4" t="s">
        <v>109</v>
      </c>
      <c r="C1068" s="4" t="s">
        <v>77</v>
      </c>
      <c r="D1068" s="5" t="s">
        <v>110</v>
      </c>
      <c r="E1068" s="16" t="s">
        <v>81</v>
      </c>
      <c r="F1068" s="3"/>
      <c r="G1068" s="8"/>
      <c r="H1068" s="8"/>
      <c r="I1068" s="8"/>
    </row>
    <row r="1069" spans="1:9" x14ac:dyDescent="0.25">
      <c r="A1069" s="4" t="s">
        <v>13</v>
      </c>
      <c r="B1069" s="4" t="s">
        <v>109</v>
      </c>
      <c r="C1069" s="4" t="s">
        <v>77</v>
      </c>
      <c r="D1069" s="6" t="s">
        <v>111</v>
      </c>
      <c r="E1069" s="16" t="s">
        <v>111</v>
      </c>
      <c r="F1069" s="3"/>
      <c r="G1069" s="8"/>
      <c r="H1069" s="8"/>
      <c r="I1069" s="8"/>
    </row>
    <row r="1070" spans="1:9" x14ac:dyDescent="0.25">
      <c r="A1070" s="4" t="s">
        <v>13</v>
      </c>
      <c r="B1070" s="4" t="s">
        <v>109</v>
      </c>
      <c r="C1070" s="4" t="s">
        <v>77</v>
      </c>
      <c r="D1070" s="6" t="s">
        <v>112</v>
      </c>
      <c r="E1070" s="16" t="s">
        <v>334</v>
      </c>
      <c r="F1070" s="3"/>
      <c r="G1070" s="8"/>
      <c r="H1070" s="8"/>
      <c r="I1070" s="8"/>
    </row>
    <row r="1071" spans="1:9" x14ac:dyDescent="0.25">
      <c r="A1071" s="4" t="s">
        <v>13</v>
      </c>
      <c r="B1071" s="4" t="s">
        <v>109</v>
      </c>
      <c r="C1071" s="4" t="s">
        <v>77</v>
      </c>
      <c r="D1071" s="6" t="s">
        <v>113</v>
      </c>
      <c r="E1071" s="16" t="s">
        <v>113</v>
      </c>
      <c r="F1071" s="3"/>
      <c r="G1071" s="8"/>
      <c r="H1071" s="8"/>
      <c r="I1071" s="8"/>
    </row>
    <row r="1072" spans="1:9" x14ac:dyDescent="0.25">
      <c r="A1072" s="4" t="s">
        <v>13</v>
      </c>
      <c r="B1072" s="4" t="s">
        <v>109</v>
      </c>
      <c r="C1072" s="4" t="s">
        <v>77</v>
      </c>
      <c r="D1072" s="6" t="s">
        <v>114</v>
      </c>
      <c r="E1072" s="16" t="s">
        <v>114</v>
      </c>
      <c r="F1072" s="3"/>
      <c r="G1072" s="8"/>
      <c r="H1072" s="8"/>
      <c r="I1072" s="8"/>
    </row>
    <row r="1073" spans="1:9" x14ac:dyDescent="0.25">
      <c r="A1073" s="4" t="s">
        <v>13</v>
      </c>
      <c r="B1073" s="4" t="s">
        <v>109</v>
      </c>
      <c r="C1073" s="4" t="s">
        <v>77</v>
      </c>
      <c r="D1073" s="6" t="s">
        <v>115</v>
      </c>
      <c r="E1073" s="16" t="s">
        <v>116</v>
      </c>
      <c r="F1073" s="16" t="s">
        <v>117</v>
      </c>
      <c r="G1073" s="8"/>
      <c r="H1073" s="8"/>
      <c r="I1073" s="8"/>
    </row>
    <row r="1074" spans="1:9" x14ac:dyDescent="0.25">
      <c r="A1074" s="4" t="s">
        <v>13</v>
      </c>
      <c r="B1074" s="4" t="s">
        <v>109</v>
      </c>
      <c r="C1074" s="4" t="s">
        <v>77</v>
      </c>
      <c r="D1074" s="7" t="s">
        <v>118</v>
      </c>
      <c r="E1074" s="16" t="s">
        <v>118</v>
      </c>
      <c r="F1074" s="3"/>
      <c r="G1074" s="8"/>
      <c r="H1074" s="8"/>
      <c r="I1074" s="8"/>
    </row>
    <row r="1075" spans="1:9" x14ac:dyDescent="0.25">
      <c r="A1075" s="4" t="s">
        <v>13</v>
      </c>
      <c r="B1075" s="4" t="s">
        <v>109</v>
      </c>
      <c r="C1075" s="4" t="s">
        <v>77</v>
      </c>
      <c r="D1075" s="7" t="s">
        <v>119</v>
      </c>
      <c r="E1075" s="16" t="s">
        <v>120</v>
      </c>
      <c r="F1075" s="3"/>
      <c r="G1075" s="8"/>
      <c r="H1075" s="8"/>
      <c r="I1075" s="8"/>
    </row>
    <row r="1076" spans="1:9" x14ac:dyDescent="0.25">
      <c r="A1076" s="4" t="s">
        <v>13</v>
      </c>
      <c r="B1076" s="4" t="s">
        <v>109</v>
      </c>
      <c r="C1076" s="4" t="s">
        <v>77</v>
      </c>
      <c r="D1076" s="30" t="s">
        <v>121</v>
      </c>
      <c r="E1076" s="16" t="s">
        <v>121</v>
      </c>
      <c r="F1076" s="3"/>
      <c r="G1076" s="8"/>
      <c r="H1076" s="8"/>
      <c r="I1076" s="8"/>
    </row>
    <row r="1077" spans="1:9" x14ac:dyDescent="0.25">
      <c r="A1077" s="4" t="s">
        <v>13</v>
      </c>
      <c r="B1077" s="4" t="s">
        <v>109</v>
      </c>
      <c r="C1077" s="4" t="s">
        <v>77</v>
      </c>
      <c r="D1077" s="30" t="s">
        <v>122</v>
      </c>
      <c r="E1077" s="16" t="s">
        <v>122</v>
      </c>
      <c r="F1077" s="3"/>
      <c r="G1077" s="8"/>
      <c r="H1077" s="8"/>
      <c r="I1077" s="8"/>
    </row>
    <row r="1078" spans="1:9" x14ac:dyDescent="0.25">
      <c r="A1078" s="4" t="s">
        <v>13</v>
      </c>
      <c r="B1078" s="4" t="s">
        <v>109</v>
      </c>
      <c r="C1078" s="4" t="s">
        <v>77</v>
      </c>
      <c r="D1078" s="29" t="s">
        <v>123</v>
      </c>
      <c r="E1078" s="16" t="s">
        <v>87</v>
      </c>
      <c r="F1078" s="3"/>
      <c r="G1078" s="8"/>
      <c r="H1078" s="8"/>
      <c r="I1078" s="8"/>
    </row>
    <row r="1079" spans="1:9" x14ac:dyDescent="0.25">
      <c r="A1079" s="4" t="s">
        <v>13</v>
      </c>
      <c r="B1079" s="4" t="s">
        <v>109</v>
      </c>
      <c r="C1079" s="4" t="s">
        <v>77</v>
      </c>
      <c r="D1079" s="29" t="s">
        <v>124</v>
      </c>
      <c r="E1079" s="16" t="s">
        <v>125</v>
      </c>
      <c r="F1079" s="16" t="s">
        <v>126</v>
      </c>
      <c r="G1079" s="8"/>
      <c r="H1079" s="8"/>
      <c r="I1079" s="8"/>
    </row>
    <row r="1080" spans="1:9" x14ac:dyDescent="0.25">
      <c r="A1080" s="4" t="s">
        <v>13</v>
      </c>
      <c r="B1080" s="4" t="s">
        <v>109</v>
      </c>
      <c r="C1080" s="4" t="s">
        <v>77</v>
      </c>
      <c r="D1080" s="29" t="s">
        <v>127</v>
      </c>
      <c r="E1080" s="16" t="s">
        <v>127</v>
      </c>
      <c r="F1080" s="3"/>
      <c r="G1080" s="8"/>
      <c r="H1080" s="8"/>
      <c r="I1080" s="8"/>
    </row>
    <row r="1081" spans="1:9" x14ac:dyDescent="0.25">
      <c r="A1081" s="4" t="s">
        <v>13</v>
      </c>
      <c r="B1081" s="4" t="s">
        <v>109</v>
      </c>
      <c r="C1081" s="4" t="s">
        <v>77</v>
      </c>
      <c r="D1081" s="29" t="s">
        <v>128</v>
      </c>
      <c r="E1081" s="16" t="s">
        <v>128</v>
      </c>
      <c r="F1081" s="3"/>
      <c r="G1081" s="8"/>
      <c r="H1081" s="8"/>
      <c r="I1081" s="8"/>
    </row>
    <row r="1082" spans="1:9" x14ac:dyDescent="0.25">
      <c r="A1082" s="4" t="s">
        <v>13</v>
      </c>
      <c r="B1082" s="4" t="s">
        <v>109</v>
      </c>
      <c r="C1082" s="4" t="s">
        <v>77</v>
      </c>
      <c r="D1082" s="27" t="s">
        <v>129</v>
      </c>
      <c r="E1082" s="16" t="s">
        <v>129</v>
      </c>
      <c r="F1082" s="3"/>
      <c r="G1082" s="8"/>
      <c r="H1082" s="8"/>
      <c r="I1082" s="8"/>
    </row>
    <row r="1083" spans="1:9" x14ac:dyDescent="0.25">
      <c r="A1083" s="4" t="s">
        <v>13</v>
      </c>
      <c r="B1083" s="4" t="s">
        <v>109</v>
      </c>
      <c r="C1083" s="4" t="s">
        <v>77</v>
      </c>
      <c r="D1083" s="27" t="s">
        <v>130</v>
      </c>
      <c r="E1083" s="16" t="s">
        <v>130</v>
      </c>
      <c r="F1083" s="3"/>
      <c r="G1083" s="8"/>
      <c r="H1083" s="8"/>
      <c r="I1083" s="8"/>
    </row>
    <row r="1084" spans="1:9" ht="30" x14ac:dyDescent="0.25">
      <c r="A1084" s="4" t="s">
        <v>13</v>
      </c>
      <c r="B1084" s="4" t="s">
        <v>109</v>
      </c>
      <c r="C1084" s="4" t="s">
        <v>77</v>
      </c>
      <c r="D1084" s="22" t="s">
        <v>202</v>
      </c>
      <c r="E1084" s="22" t="s">
        <v>203</v>
      </c>
      <c r="F1084" s="3"/>
      <c r="G1084" s="8"/>
      <c r="H1084" s="8"/>
      <c r="I1084" s="8"/>
    </row>
    <row r="1085" spans="1:9" ht="45" x14ac:dyDescent="0.25">
      <c r="A1085" s="4" t="s">
        <v>13</v>
      </c>
      <c r="B1085" s="4" t="s">
        <v>109</v>
      </c>
      <c r="C1085" s="4" t="s">
        <v>77</v>
      </c>
      <c r="D1085" s="25" t="s">
        <v>131</v>
      </c>
      <c r="E1085" s="16" t="s">
        <v>692</v>
      </c>
      <c r="F1085" s="16" t="s">
        <v>205</v>
      </c>
      <c r="G1085" s="8"/>
      <c r="H1085" s="8"/>
      <c r="I1085" s="8"/>
    </row>
    <row r="1086" spans="1:9" ht="45" x14ac:dyDescent="0.25">
      <c r="A1086" s="4" t="s">
        <v>13</v>
      </c>
      <c r="B1086" s="4" t="s">
        <v>109</v>
      </c>
      <c r="C1086" s="4" t="s">
        <v>77</v>
      </c>
      <c r="D1086" s="25" t="s">
        <v>212</v>
      </c>
      <c r="E1086" s="16" t="s">
        <v>693</v>
      </c>
      <c r="F1086" s="16" t="s">
        <v>206</v>
      </c>
      <c r="G1086" s="8"/>
      <c r="H1086" s="8"/>
      <c r="I1086" s="8"/>
    </row>
    <row r="1087" spans="1:9" ht="30" x14ac:dyDescent="0.25">
      <c r="A1087" s="4" t="s">
        <v>13</v>
      </c>
      <c r="B1087" s="4" t="s">
        <v>109</v>
      </c>
      <c r="C1087" s="4" t="s">
        <v>77</v>
      </c>
      <c r="D1087" s="25" t="s">
        <v>132</v>
      </c>
      <c r="E1087" s="16" t="s">
        <v>694</v>
      </c>
      <c r="F1087" s="16" t="s">
        <v>207</v>
      </c>
      <c r="G1087" s="8"/>
      <c r="H1087" s="8"/>
      <c r="I1087" s="8"/>
    </row>
    <row r="1088" spans="1:9" ht="60" x14ac:dyDescent="0.25">
      <c r="A1088" s="4" t="s">
        <v>13</v>
      </c>
      <c r="B1088" s="4" t="s">
        <v>109</v>
      </c>
      <c r="C1088" s="4" t="s">
        <v>77</v>
      </c>
      <c r="D1088" s="25" t="s">
        <v>133</v>
      </c>
      <c r="E1088" s="16" t="s">
        <v>215</v>
      </c>
      <c r="F1088" s="16" t="s">
        <v>214</v>
      </c>
      <c r="G1088" s="8"/>
      <c r="H1088" s="8"/>
      <c r="I1088" s="8"/>
    </row>
    <row r="1089" spans="1:10" ht="90" x14ac:dyDescent="0.25">
      <c r="A1089" s="4" t="s">
        <v>13</v>
      </c>
      <c r="B1089" s="4" t="s">
        <v>109</v>
      </c>
      <c r="C1089" s="4" t="s">
        <v>77</v>
      </c>
      <c r="D1089" s="25" t="s">
        <v>409</v>
      </c>
      <c r="E1089" s="16" t="s">
        <v>219</v>
      </c>
      <c r="F1089" s="16" t="s">
        <v>217</v>
      </c>
      <c r="G1089" s="8"/>
      <c r="H1089" s="8"/>
      <c r="I1089" s="8"/>
    </row>
    <row r="1090" spans="1:10" ht="105" x14ac:dyDescent="0.25">
      <c r="A1090" s="4" t="s">
        <v>13</v>
      </c>
      <c r="B1090" s="4" t="s">
        <v>109</v>
      </c>
      <c r="C1090" s="4" t="s">
        <v>77</v>
      </c>
      <c r="D1090" s="25" t="s">
        <v>410</v>
      </c>
      <c r="E1090" s="16" t="s">
        <v>411</v>
      </c>
      <c r="F1090" s="16" t="s">
        <v>217</v>
      </c>
      <c r="G1090" s="8"/>
      <c r="H1090" s="8"/>
      <c r="I1090" s="8"/>
    </row>
    <row r="1091" spans="1:10" x14ac:dyDescent="0.25">
      <c r="A1091" s="4" t="s">
        <v>13</v>
      </c>
      <c r="B1091" s="4" t="s">
        <v>109</v>
      </c>
      <c r="C1091" s="4" t="s">
        <v>77</v>
      </c>
      <c r="D1091" s="25" t="s">
        <v>134</v>
      </c>
      <c r="E1091" s="16" t="s">
        <v>209</v>
      </c>
      <c r="F1091" s="16" t="s">
        <v>207</v>
      </c>
      <c r="G1091" s="8"/>
      <c r="H1091" s="8"/>
      <c r="I1091" s="8"/>
    </row>
    <row r="1092" spans="1:10" ht="25.5" x14ac:dyDescent="0.25">
      <c r="A1092" s="4" t="s">
        <v>13</v>
      </c>
      <c r="B1092" s="4" t="s">
        <v>109</v>
      </c>
      <c r="C1092" s="4" t="s">
        <v>77</v>
      </c>
      <c r="D1092" s="25" t="s">
        <v>135</v>
      </c>
      <c r="E1092" s="16" t="s">
        <v>136</v>
      </c>
      <c r="F1092" s="16" t="s">
        <v>137</v>
      </c>
      <c r="G1092" s="8"/>
      <c r="H1092" s="8"/>
      <c r="I1092" s="8"/>
      <c r="J1092" s="18"/>
    </row>
    <row r="1093" spans="1:10" x14ac:dyDescent="0.25">
      <c r="A1093" s="4" t="s">
        <v>13</v>
      </c>
      <c r="B1093" s="4" t="s">
        <v>109</v>
      </c>
      <c r="C1093" s="4" t="s">
        <v>77</v>
      </c>
      <c r="D1093" s="25" t="s">
        <v>138</v>
      </c>
      <c r="E1093" s="16" t="s">
        <v>138</v>
      </c>
      <c r="F1093" s="3"/>
      <c r="G1093" s="8"/>
      <c r="H1093" s="8"/>
      <c r="I1093" s="8"/>
    </row>
    <row r="1094" spans="1:10" x14ac:dyDescent="0.25">
      <c r="A1094" s="4" t="s">
        <v>13</v>
      </c>
      <c r="B1094" s="4" t="s">
        <v>109</v>
      </c>
      <c r="C1094" s="4" t="s">
        <v>77</v>
      </c>
      <c r="D1094" s="32" t="s">
        <v>139</v>
      </c>
      <c r="E1094" s="16" t="s">
        <v>139</v>
      </c>
      <c r="F1094" s="3"/>
      <c r="G1094" s="8"/>
      <c r="H1094" s="8"/>
      <c r="I1094" s="8"/>
    </row>
    <row r="1095" spans="1:10" x14ac:dyDescent="0.25">
      <c r="A1095" s="4" t="s">
        <v>13</v>
      </c>
      <c r="B1095" s="4" t="s">
        <v>109</v>
      </c>
      <c r="C1095" s="4" t="s">
        <v>77</v>
      </c>
      <c r="D1095" s="32" t="s">
        <v>140</v>
      </c>
      <c r="E1095" s="16" t="s">
        <v>140</v>
      </c>
      <c r="F1095" s="3"/>
      <c r="G1095" s="8"/>
      <c r="H1095" s="8"/>
      <c r="I1095" s="8"/>
    </row>
    <row r="1096" spans="1:10" x14ac:dyDescent="0.25">
      <c r="A1096" s="4" t="s">
        <v>13</v>
      </c>
      <c r="B1096" s="4" t="s">
        <v>109</v>
      </c>
      <c r="C1096" s="4" t="s">
        <v>77</v>
      </c>
      <c r="D1096" s="22" t="s">
        <v>141</v>
      </c>
      <c r="E1096" s="22" t="s">
        <v>203</v>
      </c>
      <c r="F1096" s="3"/>
      <c r="G1096" s="8"/>
      <c r="H1096" s="8"/>
      <c r="I1096" s="8"/>
    </row>
    <row r="1097" spans="1:10" x14ac:dyDescent="0.25">
      <c r="A1097" s="4" t="s">
        <v>13</v>
      </c>
      <c r="B1097" s="4" t="s">
        <v>109</v>
      </c>
      <c r="C1097" s="4" t="s">
        <v>77</v>
      </c>
      <c r="D1097" s="26" t="s">
        <v>142</v>
      </c>
      <c r="E1097" s="16" t="s">
        <v>142</v>
      </c>
      <c r="F1097" s="3"/>
      <c r="G1097" s="8"/>
      <c r="H1097" s="8"/>
      <c r="I1097" s="8"/>
    </row>
    <row r="1098" spans="1:10" x14ac:dyDescent="0.25">
      <c r="A1098" s="4" t="s">
        <v>13</v>
      </c>
      <c r="B1098" s="4" t="s">
        <v>109</v>
      </c>
      <c r="C1098" s="4" t="s">
        <v>77</v>
      </c>
      <c r="D1098" s="31" t="s">
        <v>143</v>
      </c>
      <c r="E1098" s="16" t="s">
        <v>337</v>
      </c>
      <c r="F1098" s="3"/>
      <c r="G1098" s="8"/>
      <c r="H1098" s="8"/>
      <c r="I1098" s="8"/>
    </row>
    <row r="1099" spans="1:10" x14ac:dyDescent="0.25">
      <c r="A1099" s="4" t="s">
        <v>13</v>
      </c>
      <c r="B1099" s="4" t="s">
        <v>109</v>
      </c>
      <c r="C1099" s="4" t="s">
        <v>77</v>
      </c>
      <c r="D1099" s="28" t="s">
        <v>144</v>
      </c>
      <c r="E1099" s="16" t="s">
        <v>144</v>
      </c>
      <c r="F1099" s="3"/>
      <c r="G1099" s="8"/>
      <c r="H1099" s="8"/>
      <c r="I1099" s="8"/>
    </row>
    <row r="1100" spans="1:10" x14ac:dyDescent="0.25">
      <c r="A1100" s="4" t="s">
        <v>13</v>
      </c>
      <c r="B1100" s="4" t="s">
        <v>109</v>
      </c>
      <c r="C1100" s="4" t="s">
        <v>77</v>
      </c>
      <c r="D1100" s="28" t="s">
        <v>145</v>
      </c>
      <c r="E1100" s="16" t="s">
        <v>145</v>
      </c>
      <c r="F1100" s="3"/>
      <c r="G1100" s="8"/>
      <c r="H1100" s="8"/>
      <c r="I1100" s="8"/>
    </row>
    <row r="1101" spans="1:10" x14ac:dyDescent="0.25">
      <c r="A1101" s="4" t="s">
        <v>13</v>
      </c>
      <c r="B1101" s="4" t="s">
        <v>109</v>
      </c>
      <c r="C1101" s="4" t="s">
        <v>77</v>
      </c>
      <c r="D1101" s="28" t="s">
        <v>146</v>
      </c>
      <c r="E1101" s="16" t="s">
        <v>203</v>
      </c>
      <c r="F1101" s="3"/>
      <c r="G1101" s="8"/>
      <c r="H1101" s="8"/>
      <c r="I1101" s="8"/>
    </row>
    <row r="1102" spans="1:10" x14ac:dyDescent="0.25">
      <c r="A1102" s="4" t="s">
        <v>13</v>
      </c>
      <c r="B1102" s="4" t="s">
        <v>109</v>
      </c>
      <c r="C1102" s="4" t="s">
        <v>77</v>
      </c>
      <c r="D1102" s="33" t="s">
        <v>147</v>
      </c>
      <c r="E1102" s="16" t="s">
        <v>147</v>
      </c>
      <c r="F1102" s="3"/>
      <c r="G1102" s="8"/>
      <c r="H1102" s="8"/>
      <c r="I1102" s="8"/>
    </row>
    <row r="1103" spans="1:10" x14ac:dyDescent="0.25">
      <c r="A1103" s="4" t="s">
        <v>13</v>
      </c>
      <c r="B1103" s="4" t="s">
        <v>109</v>
      </c>
      <c r="C1103" s="4" t="s">
        <v>95</v>
      </c>
      <c r="D1103" s="16" t="e">
        <f t="shared" ref="D1103:D1113" si="6">I1103&amp;".txt"</f>
        <v>#REF!</v>
      </c>
      <c r="E1103" s="16"/>
      <c r="F1103" s="3"/>
      <c r="G1103" s="16" t="s">
        <v>10</v>
      </c>
      <c r="H1103" s="16" t="s">
        <v>10</v>
      </c>
      <c r="I1103" s="16" t="e">
        <f>VLOOKUP(A1103&amp;G1103&amp;H1103,#REF!,2,FALSE)</f>
        <v>#REF!</v>
      </c>
    </row>
    <row r="1104" spans="1:10" x14ac:dyDescent="0.25">
      <c r="A1104" s="4" t="s">
        <v>13</v>
      </c>
      <c r="B1104" s="4" t="s">
        <v>109</v>
      </c>
      <c r="C1104" s="4" t="s">
        <v>96</v>
      </c>
      <c r="D1104" s="16" t="e">
        <f t="shared" si="6"/>
        <v>#REF!</v>
      </c>
      <c r="E1104" s="16" t="s">
        <v>81</v>
      </c>
      <c r="F1104" s="16" t="s">
        <v>126</v>
      </c>
      <c r="G1104" s="16" t="s">
        <v>8</v>
      </c>
      <c r="H1104" s="16" t="s">
        <v>8</v>
      </c>
      <c r="I1104" s="16" t="e">
        <f>VLOOKUP(A1104&amp;G1104&amp;H1104,#REF!,2,FALSE)</f>
        <v>#REF!</v>
      </c>
    </row>
    <row r="1105" spans="1:9" x14ac:dyDescent="0.25">
      <c r="A1105" s="4" t="s">
        <v>13</v>
      </c>
      <c r="B1105" s="4" t="s">
        <v>109</v>
      </c>
      <c r="C1105" s="4" t="s">
        <v>96</v>
      </c>
      <c r="D1105" s="16" t="e">
        <f t="shared" si="6"/>
        <v>#REF!</v>
      </c>
      <c r="E1105" s="16" t="s">
        <v>81</v>
      </c>
      <c r="F1105" s="16" t="s">
        <v>148</v>
      </c>
      <c r="G1105" s="16" t="s">
        <v>9</v>
      </c>
      <c r="H1105" s="16" t="s">
        <v>9</v>
      </c>
      <c r="I1105" s="16" t="e">
        <f>VLOOKUP(A1105&amp;G1105&amp;H1105,#REF!,2,FALSE)</f>
        <v>#REF!</v>
      </c>
    </row>
    <row r="1106" spans="1:9" x14ac:dyDescent="0.25">
      <c r="A1106" s="4" t="s">
        <v>13</v>
      </c>
      <c r="B1106" s="4" t="s">
        <v>109</v>
      </c>
      <c r="C1106" s="4" t="s">
        <v>96</v>
      </c>
      <c r="D1106" s="16" t="e">
        <f t="shared" si="6"/>
        <v>#REF!</v>
      </c>
      <c r="E1106" s="16" t="s">
        <v>81</v>
      </c>
      <c r="F1106" s="16" t="s">
        <v>213</v>
      </c>
      <c r="G1106" s="16" t="s">
        <v>9</v>
      </c>
      <c r="H1106" s="16" t="s">
        <v>9</v>
      </c>
      <c r="I1106" s="16" t="e">
        <f>VLOOKUP(A1106&amp;G1106&amp;H1106,#REF!,2,FALSE)</f>
        <v>#REF!</v>
      </c>
    </row>
    <row r="1107" spans="1:9" x14ac:dyDescent="0.25">
      <c r="A1107" s="4" t="s">
        <v>13</v>
      </c>
      <c r="B1107" s="4" t="s">
        <v>109</v>
      </c>
      <c r="C1107" s="4" t="s">
        <v>96</v>
      </c>
      <c r="D1107" s="16" t="e">
        <f t="shared" si="6"/>
        <v>#REF!</v>
      </c>
      <c r="E1107" s="16" t="s">
        <v>81</v>
      </c>
      <c r="F1107" s="16" t="s">
        <v>149</v>
      </c>
      <c r="G1107" s="16" t="s">
        <v>9</v>
      </c>
      <c r="H1107" s="16" t="s">
        <v>9</v>
      </c>
      <c r="I1107" s="16" t="e">
        <f>VLOOKUP(A1107&amp;G1107&amp;H1107,#REF!,2,FALSE)</f>
        <v>#REF!</v>
      </c>
    </row>
    <row r="1108" spans="1:9" x14ac:dyDescent="0.25">
      <c r="A1108" s="4" t="s">
        <v>13</v>
      </c>
      <c r="B1108" s="4" t="s">
        <v>109</v>
      </c>
      <c r="C1108" s="4" t="s">
        <v>96</v>
      </c>
      <c r="D1108" s="16" t="e">
        <f t="shared" si="6"/>
        <v>#REF!</v>
      </c>
      <c r="E1108" s="16" t="s">
        <v>81</v>
      </c>
      <c r="F1108" s="16" t="s">
        <v>199</v>
      </c>
      <c r="G1108" s="16" t="s">
        <v>9</v>
      </c>
      <c r="H1108" s="16" t="s">
        <v>9</v>
      </c>
      <c r="I1108" s="16" t="e">
        <f>VLOOKUP(A1108&amp;G1108&amp;H1108,#REF!,2,FALSE)</f>
        <v>#REF!</v>
      </c>
    </row>
    <row r="1109" spans="1:9" x14ac:dyDescent="0.25">
      <c r="A1109" s="4" t="s">
        <v>13</v>
      </c>
      <c r="B1109" s="4" t="s">
        <v>109</v>
      </c>
      <c r="C1109" s="4" t="s">
        <v>96</v>
      </c>
      <c r="D1109" s="16" t="e">
        <f t="shared" si="6"/>
        <v>#REF!</v>
      </c>
      <c r="E1109" s="16" t="s">
        <v>81</v>
      </c>
      <c r="F1109" s="16" t="s">
        <v>117</v>
      </c>
      <c r="G1109" s="16" t="s">
        <v>36</v>
      </c>
      <c r="H1109" s="16" t="s">
        <v>36</v>
      </c>
      <c r="I1109" s="16" t="e">
        <f>VLOOKUP(A1109&amp;G1109&amp;H1109,#REF!,2,FALSE)</f>
        <v>#REF!</v>
      </c>
    </row>
    <row r="1110" spans="1:9" x14ac:dyDescent="0.25">
      <c r="A1110" s="4" t="s">
        <v>13</v>
      </c>
      <c r="B1110" s="4" t="s">
        <v>109</v>
      </c>
      <c r="C1110" s="4" t="s">
        <v>96</v>
      </c>
      <c r="D1110" s="16" t="e">
        <f t="shared" si="6"/>
        <v>#REF!</v>
      </c>
      <c r="E1110" s="16" t="s">
        <v>81</v>
      </c>
      <c r="F1110" s="16" t="s">
        <v>137</v>
      </c>
      <c r="G1110" s="16" t="s">
        <v>30</v>
      </c>
      <c r="H1110" s="16" t="s">
        <v>30</v>
      </c>
      <c r="I1110" s="16" t="e">
        <f>VLOOKUP(A1110&amp;G1110&amp;H1110,#REF!,2,FALSE)</f>
        <v>#REF!</v>
      </c>
    </row>
    <row r="1111" spans="1:9" ht="30" x14ac:dyDescent="0.25">
      <c r="A1111" s="4" t="s">
        <v>13</v>
      </c>
      <c r="B1111" s="4" t="s">
        <v>109</v>
      </c>
      <c r="C1111" s="4" t="s">
        <v>96</v>
      </c>
      <c r="D1111" s="16" t="e">
        <f t="shared" si="6"/>
        <v>#REF!</v>
      </c>
      <c r="E1111" s="16" t="s">
        <v>81</v>
      </c>
      <c r="F1111" s="16" t="s">
        <v>216</v>
      </c>
      <c r="G1111" s="16" t="s">
        <v>2</v>
      </c>
      <c r="H1111" s="16" t="s">
        <v>59</v>
      </c>
      <c r="I1111" s="16" t="e">
        <f>VLOOKUP(A1111&amp;G1111&amp;H1111,#REF!,2,FALSE)</f>
        <v>#REF!</v>
      </c>
    </row>
    <row r="1112" spans="1:9" x14ac:dyDescent="0.25">
      <c r="A1112" s="4" t="s">
        <v>13</v>
      </c>
      <c r="B1112" s="4" t="s">
        <v>109</v>
      </c>
      <c r="C1112" s="4" t="s">
        <v>96</v>
      </c>
      <c r="D1112" s="16" t="e">
        <f t="shared" si="6"/>
        <v>#REF!</v>
      </c>
      <c r="E1112" s="16" t="s">
        <v>81</v>
      </c>
      <c r="F1112" s="16" t="s">
        <v>201</v>
      </c>
      <c r="G1112" s="16" t="s">
        <v>38</v>
      </c>
      <c r="H1112" s="16" t="s">
        <v>196</v>
      </c>
      <c r="I1112" s="16" t="e">
        <f>VLOOKUP(A1112&amp;G1112&amp;H1112,#REF!,2,FALSE)</f>
        <v>#REF!</v>
      </c>
    </row>
    <row r="1113" spans="1:9" ht="30" x14ac:dyDescent="0.25">
      <c r="A1113" s="4" t="s">
        <v>13</v>
      </c>
      <c r="B1113" s="4" t="s">
        <v>109</v>
      </c>
      <c r="C1113" s="4" t="s">
        <v>96</v>
      </c>
      <c r="D1113" s="16" t="e">
        <f t="shared" si="6"/>
        <v>#REF!</v>
      </c>
      <c r="E1113" s="16" t="s">
        <v>81</v>
      </c>
      <c r="F1113" s="16" t="s">
        <v>200</v>
      </c>
      <c r="G1113" s="16" t="s">
        <v>34</v>
      </c>
      <c r="H1113" s="16" t="s">
        <v>60</v>
      </c>
      <c r="I1113" s="16" t="e">
        <f>VLOOKUP(A1113&amp;G1113&amp;H1113,#REF!,2,FALSE)</f>
        <v>#REF!</v>
      </c>
    </row>
    <row r="1114" spans="1:9" ht="15.75" x14ac:dyDescent="0.25">
      <c r="A1114" s="4" t="s">
        <v>13</v>
      </c>
      <c r="B1114" s="4" t="s">
        <v>36</v>
      </c>
      <c r="C1114" s="4" t="s">
        <v>77</v>
      </c>
      <c r="D1114" s="24" t="s">
        <v>150</v>
      </c>
      <c r="E1114" s="16" t="s">
        <v>81</v>
      </c>
      <c r="F1114" s="3"/>
      <c r="G1114" s="8"/>
      <c r="H1114" s="8"/>
      <c r="I1114" s="8"/>
    </row>
    <row r="1115" spans="1:9" ht="15.75" x14ac:dyDescent="0.25">
      <c r="A1115" s="4" t="s">
        <v>13</v>
      </c>
      <c r="B1115" s="4" t="s">
        <v>36</v>
      </c>
      <c r="C1115" s="4" t="s">
        <v>77</v>
      </c>
      <c r="D1115" s="24" t="s">
        <v>81</v>
      </c>
      <c r="E1115" s="16" t="s">
        <v>116</v>
      </c>
      <c r="F1115" s="3"/>
      <c r="G1115" s="8"/>
      <c r="H1115" s="8"/>
      <c r="I1115" s="8"/>
    </row>
    <row r="1116" spans="1:9" ht="15.75" x14ac:dyDescent="0.25">
      <c r="A1116" s="4" t="s">
        <v>13</v>
      </c>
      <c r="B1116" s="4" t="s">
        <v>36</v>
      </c>
      <c r="C1116" s="4" t="s">
        <v>77</v>
      </c>
      <c r="D1116" s="24" t="s">
        <v>151</v>
      </c>
      <c r="E1116" s="16" t="s">
        <v>152</v>
      </c>
      <c r="F1116" s="16" t="s">
        <v>153</v>
      </c>
      <c r="G1116" s="8"/>
      <c r="H1116" s="8"/>
      <c r="I1116" s="8"/>
    </row>
    <row r="1117" spans="1:9" ht="15.75" x14ac:dyDescent="0.25">
      <c r="A1117" s="4" t="s">
        <v>13</v>
      </c>
      <c r="B1117" s="4" t="s">
        <v>36</v>
      </c>
      <c r="C1117" s="4" t="s">
        <v>77</v>
      </c>
      <c r="D1117" s="24" t="s">
        <v>154</v>
      </c>
      <c r="E1117" s="16" t="s">
        <v>155</v>
      </c>
      <c r="F1117" s="3"/>
      <c r="G1117" s="8"/>
      <c r="H1117" s="8"/>
      <c r="I1117" s="8"/>
    </row>
    <row r="1118" spans="1:9" ht="15.75" x14ac:dyDescent="0.25">
      <c r="A1118" s="4" t="s">
        <v>13</v>
      </c>
      <c r="B1118" s="4" t="s">
        <v>36</v>
      </c>
      <c r="C1118" s="4" t="s">
        <v>77</v>
      </c>
      <c r="D1118" s="24" t="s">
        <v>156</v>
      </c>
      <c r="E1118" s="16" t="s">
        <v>87</v>
      </c>
      <c r="F1118" s="3"/>
      <c r="G1118" s="8"/>
      <c r="H1118" s="8"/>
      <c r="I1118" s="8"/>
    </row>
    <row r="1119" spans="1:9" ht="15.75" x14ac:dyDescent="0.25">
      <c r="A1119" s="4" t="s">
        <v>13</v>
      </c>
      <c r="B1119" s="4" t="s">
        <v>36</v>
      </c>
      <c r="C1119" s="4" t="s">
        <v>77</v>
      </c>
      <c r="D1119" s="24" t="s">
        <v>157</v>
      </c>
      <c r="E1119" s="16" t="s">
        <v>158</v>
      </c>
      <c r="F1119" s="3"/>
      <c r="G1119" s="8"/>
      <c r="H1119" s="8"/>
      <c r="I1119" s="8"/>
    </row>
    <row r="1120" spans="1:9" ht="15.75" x14ac:dyDescent="0.25">
      <c r="A1120" s="4" t="s">
        <v>13</v>
      </c>
      <c r="B1120" s="4" t="s">
        <v>36</v>
      </c>
      <c r="C1120" s="4" t="s">
        <v>77</v>
      </c>
      <c r="D1120" s="24" t="s">
        <v>159</v>
      </c>
      <c r="E1120" s="16" t="s">
        <v>159</v>
      </c>
      <c r="F1120" s="3"/>
      <c r="G1120" s="8"/>
      <c r="H1120" s="8"/>
      <c r="I1120" s="8"/>
    </row>
    <row r="1121" spans="1:9" ht="15.75" x14ac:dyDescent="0.25">
      <c r="A1121" s="4" t="s">
        <v>13</v>
      </c>
      <c r="B1121" s="4" t="s">
        <v>36</v>
      </c>
      <c r="C1121" s="4" t="s">
        <v>77</v>
      </c>
      <c r="D1121" s="24" t="s">
        <v>160</v>
      </c>
      <c r="E1121" s="16" t="s">
        <v>160</v>
      </c>
      <c r="F1121" s="3"/>
      <c r="G1121" s="8"/>
      <c r="H1121" s="8"/>
      <c r="I1121" s="8"/>
    </row>
    <row r="1122" spans="1:9" ht="15.75" x14ac:dyDescent="0.25">
      <c r="A1122" s="4" t="s">
        <v>13</v>
      </c>
      <c r="B1122" s="4" t="s">
        <v>36</v>
      </c>
      <c r="C1122" s="4" t="s">
        <v>77</v>
      </c>
      <c r="D1122" s="24" t="s">
        <v>161</v>
      </c>
      <c r="E1122" s="16" t="s">
        <v>161</v>
      </c>
      <c r="F1122" s="3"/>
      <c r="G1122" s="8"/>
      <c r="H1122" s="8"/>
      <c r="I1122" s="8"/>
    </row>
    <row r="1123" spans="1:9" ht="15.75" x14ac:dyDescent="0.25">
      <c r="A1123" s="4" t="s">
        <v>13</v>
      </c>
      <c r="B1123" s="4" t="s">
        <v>36</v>
      </c>
      <c r="C1123" s="4" t="s">
        <v>77</v>
      </c>
      <c r="D1123" s="24" t="s">
        <v>162</v>
      </c>
      <c r="E1123" s="16" t="s">
        <v>162</v>
      </c>
      <c r="F1123" s="3"/>
      <c r="G1123" s="8"/>
      <c r="H1123" s="8"/>
      <c r="I1123" s="8"/>
    </row>
    <row r="1124" spans="1:9" ht="15.75" x14ac:dyDescent="0.25">
      <c r="A1124" s="4" t="s">
        <v>13</v>
      </c>
      <c r="B1124" s="4" t="s">
        <v>36</v>
      </c>
      <c r="C1124" s="4" t="s">
        <v>77</v>
      </c>
      <c r="D1124" s="24" t="s">
        <v>163</v>
      </c>
      <c r="E1124" s="16" t="s">
        <v>163</v>
      </c>
      <c r="F1124" s="3"/>
      <c r="G1124" s="8"/>
      <c r="H1124" s="8"/>
      <c r="I1124" s="8"/>
    </row>
    <row r="1125" spans="1:9" ht="15.75" x14ac:dyDescent="0.25">
      <c r="A1125" s="4" t="s">
        <v>13</v>
      </c>
      <c r="B1125" s="4" t="s">
        <v>36</v>
      </c>
      <c r="C1125" s="4" t="s">
        <v>77</v>
      </c>
      <c r="D1125" s="24" t="s">
        <v>164</v>
      </c>
      <c r="E1125" s="16" t="s">
        <v>164</v>
      </c>
      <c r="F1125" s="3"/>
      <c r="G1125" s="8"/>
      <c r="H1125" s="8"/>
      <c r="I1125" s="8"/>
    </row>
    <row r="1126" spans="1:9" ht="15.75" x14ac:dyDescent="0.25">
      <c r="A1126" s="4" t="s">
        <v>13</v>
      </c>
      <c r="B1126" s="4" t="s">
        <v>36</v>
      </c>
      <c r="C1126" s="4" t="s">
        <v>77</v>
      </c>
      <c r="D1126" s="24" t="s">
        <v>165</v>
      </c>
      <c r="E1126" s="16" t="s">
        <v>165</v>
      </c>
      <c r="F1126" s="3"/>
      <c r="G1126" s="8"/>
      <c r="H1126" s="8"/>
      <c r="I1126" s="8"/>
    </row>
    <row r="1127" spans="1:9" ht="15.75" x14ac:dyDescent="0.25">
      <c r="A1127" s="4" t="s">
        <v>13</v>
      </c>
      <c r="B1127" s="4" t="s">
        <v>36</v>
      </c>
      <c r="C1127" s="4" t="s">
        <v>77</v>
      </c>
      <c r="D1127" s="24" t="s">
        <v>166</v>
      </c>
      <c r="E1127" s="16" t="s">
        <v>166</v>
      </c>
      <c r="F1127" s="3"/>
      <c r="G1127" s="8"/>
      <c r="H1127" s="8"/>
      <c r="I1127" s="8"/>
    </row>
    <row r="1128" spans="1:9" ht="15.75" x14ac:dyDescent="0.25">
      <c r="A1128" s="4" t="s">
        <v>13</v>
      </c>
      <c r="B1128" s="4" t="s">
        <v>36</v>
      </c>
      <c r="C1128" s="4" t="s">
        <v>77</v>
      </c>
      <c r="D1128" s="24" t="s">
        <v>167</v>
      </c>
      <c r="E1128" s="16" t="s">
        <v>128</v>
      </c>
      <c r="F1128" s="16" t="s">
        <v>153</v>
      </c>
      <c r="G1128" s="8"/>
      <c r="H1128" s="8"/>
      <c r="I1128" s="8"/>
    </row>
    <row r="1129" spans="1:9" ht="15.75" x14ac:dyDescent="0.25">
      <c r="A1129" s="4" t="s">
        <v>13</v>
      </c>
      <c r="B1129" s="4" t="s">
        <v>36</v>
      </c>
      <c r="C1129" s="4" t="s">
        <v>77</v>
      </c>
      <c r="D1129" s="24" t="s">
        <v>168</v>
      </c>
      <c r="E1129" s="16" t="s">
        <v>125</v>
      </c>
      <c r="F1129" s="16" t="s">
        <v>169</v>
      </c>
      <c r="G1129" s="8"/>
      <c r="H1129" s="8"/>
      <c r="I1129" s="8"/>
    </row>
    <row r="1130" spans="1:9" ht="30" x14ac:dyDescent="0.25">
      <c r="A1130" s="4" t="s">
        <v>13</v>
      </c>
      <c r="B1130" s="4" t="s">
        <v>36</v>
      </c>
      <c r="C1130" s="4" t="s">
        <v>77</v>
      </c>
      <c r="D1130" s="24" t="s">
        <v>170</v>
      </c>
      <c r="E1130" s="16" t="s">
        <v>210</v>
      </c>
      <c r="F1130" s="16" t="s">
        <v>211</v>
      </c>
      <c r="G1130" s="8"/>
      <c r="H1130" s="8"/>
      <c r="I1130" s="8"/>
    </row>
    <row r="1131" spans="1:9" ht="15.75" x14ac:dyDescent="0.25">
      <c r="A1131" s="4" t="s">
        <v>13</v>
      </c>
      <c r="B1131" s="4" t="s">
        <v>36</v>
      </c>
      <c r="C1131" s="4" t="s">
        <v>77</v>
      </c>
      <c r="D1131" s="24" t="s">
        <v>171</v>
      </c>
      <c r="E1131" s="16" t="s">
        <v>171</v>
      </c>
      <c r="F1131" s="3"/>
      <c r="G1131" s="8"/>
      <c r="H1131" s="8"/>
      <c r="I1131" s="8"/>
    </row>
    <row r="1132" spans="1:9" ht="15.75" x14ac:dyDescent="0.25">
      <c r="A1132" s="4" t="s">
        <v>13</v>
      </c>
      <c r="B1132" s="4" t="s">
        <v>36</v>
      </c>
      <c r="C1132" s="4" t="s">
        <v>77</v>
      </c>
      <c r="D1132" s="24" t="s">
        <v>172</v>
      </c>
      <c r="E1132" s="16" t="s">
        <v>173</v>
      </c>
      <c r="F1132" s="3"/>
      <c r="G1132" s="8"/>
      <c r="H1132" s="8"/>
      <c r="I1132" s="8"/>
    </row>
    <row r="1133" spans="1:9" ht="30" x14ac:dyDescent="0.25">
      <c r="A1133" s="4" t="s">
        <v>13</v>
      </c>
      <c r="B1133" s="4" t="s">
        <v>36</v>
      </c>
      <c r="C1133" s="4" t="s">
        <v>77</v>
      </c>
      <c r="D1133" s="24" t="s">
        <v>174</v>
      </c>
      <c r="E1133" s="16" t="s">
        <v>175</v>
      </c>
      <c r="F1133" s="16" t="s">
        <v>176</v>
      </c>
      <c r="G1133" s="8"/>
      <c r="H1133" s="8"/>
      <c r="I1133" s="8"/>
    </row>
    <row r="1134" spans="1:9" ht="15.75" x14ac:dyDescent="0.25">
      <c r="A1134" s="4" t="s">
        <v>13</v>
      </c>
      <c r="B1134" s="4" t="s">
        <v>36</v>
      </c>
      <c r="C1134" s="4" t="s">
        <v>77</v>
      </c>
      <c r="D1134" s="24" t="s">
        <v>177</v>
      </c>
      <c r="E1134" s="16" t="s">
        <v>177</v>
      </c>
      <c r="F1134" s="3"/>
      <c r="G1134" s="8"/>
      <c r="H1134" s="8"/>
      <c r="I1134" s="8"/>
    </row>
    <row r="1135" spans="1:9" ht="15.75" x14ac:dyDescent="0.25">
      <c r="A1135" s="4" t="s">
        <v>13</v>
      </c>
      <c r="B1135" s="4" t="s">
        <v>36</v>
      </c>
      <c r="C1135" s="4" t="s">
        <v>77</v>
      </c>
      <c r="D1135" s="24" t="s">
        <v>178</v>
      </c>
      <c r="E1135" s="16" t="s">
        <v>178</v>
      </c>
      <c r="F1135" s="3"/>
      <c r="G1135" s="8"/>
      <c r="H1135" s="8"/>
      <c r="I1135" s="8"/>
    </row>
    <row r="1136" spans="1:9" ht="15.75" x14ac:dyDescent="0.25">
      <c r="A1136" s="4" t="s">
        <v>13</v>
      </c>
      <c r="B1136" s="4" t="s">
        <v>36</v>
      </c>
      <c r="C1136" s="4" t="s">
        <v>77</v>
      </c>
      <c r="D1136" s="24" t="s">
        <v>179</v>
      </c>
      <c r="E1136" s="16" t="s">
        <v>179</v>
      </c>
      <c r="F1136" s="3"/>
      <c r="G1136" s="8"/>
      <c r="H1136" s="8"/>
      <c r="I1136" s="8"/>
    </row>
    <row r="1137" spans="1:9" ht="15.75" x14ac:dyDescent="0.25">
      <c r="A1137" s="4" t="s">
        <v>13</v>
      </c>
      <c r="B1137" s="4" t="s">
        <v>36</v>
      </c>
      <c r="C1137" s="4" t="s">
        <v>77</v>
      </c>
      <c r="D1137" s="24" t="s">
        <v>180</v>
      </c>
      <c r="E1137" s="16" t="s">
        <v>180</v>
      </c>
      <c r="F1137" s="3"/>
      <c r="G1137" s="8"/>
      <c r="H1137" s="8"/>
      <c r="I1137" s="8"/>
    </row>
    <row r="1138" spans="1:9" x14ac:dyDescent="0.25">
      <c r="A1138" s="4" t="s">
        <v>13</v>
      </c>
      <c r="B1138" s="4" t="s">
        <v>36</v>
      </c>
      <c r="C1138" s="4" t="s">
        <v>95</v>
      </c>
      <c r="D1138" s="16" t="e">
        <f>I1138&amp;".txt"</f>
        <v>#REF!</v>
      </c>
      <c r="E1138" s="16"/>
      <c r="F1138" s="3"/>
      <c r="G1138" s="16" t="s">
        <v>36</v>
      </c>
      <c r="H1138" s="16" t="s">
        <v>36</v>
      </c>
      <c r="I1138" s="16" t="e">
        <f>VLOOKUP(A1138&amp;G1138&amp;H1138,#REF!,2,FALSE)</f>
        <v>#REF!</v>
      </c>
    </row>
    <row r="1139" spans="1:9" x14ac:dyDescent="0.25">
      <c r="A1139" s="4" t="s">
        <v>13</v>
      </c>
      <c r="B1139" s="4" t="s">
        <v>36</v>
      </c>
      <c r="C1139" s="4" t="s">
        <v>96</v>
      </c>
      <c r="D1139" s="16" t="e">
        <f>I1139&amp;".txt"</f>
        <v>#REF!</v>
      </c>
      <c r="E1139" s="16" t="s">
        <v>81</v>
      </c>
      <c r="F1139" s="16" t="s">
        <v>169</v>
      </c>
      <c r="G1139" s="16" t="s">
        <v>9</v>
      </c>
      <c r="H1139" s="16" t="s">
        <v>9</v>
      </c>
      <c r="I1139" s="16" t="e">
        <f>VLOOKUP(A1139&amp;G1139&amp;H1139,#REF!,2,FALSE)</f>
        <v>#REF!</v>
      </c>
    </row>
    <row r="1140" spans="1:9" x14ac:dyDescent="0.25">
      <c r="A1140" s="4" t="s">
        <v>13</v>
      </c>
      <c r="B1140" s="4" t="s">
        <v>36</v>
      </c>
      <c r="C1140" s="4" t="s">
        <v>96</v>
      </c>
      <c r="D1140" s="16" t="e">
        <f>I1140&amp;".txt"</f>
        <v>#REF!</v>
      </c>
      <c r="E1140" s="16" t="s">
        <v>81</v>
      </c>
      <c r="F1140" s="16" t="s">
        <v>153</v>
      </c>
      <c r="G1140" s="16" t="s">
        <v>10</v>
      </c>
      <c r="H1140" s="16" t="s">
        <v>10</v>
      </c>
      <c r="I1140" s="16" t="e">
        <f>VLOOKUP(A1140&amp;G1140&amp;H1140,#REF!,2,FALSE)</f>
        <v>#REF!</v>
      </c>
    </row>
    <row r="1141" spans="1:9" ht="30" x14ac:dyDescent="0.25">
      <c r="A1141" s="4" t="s">
        <v>13</v>
      </c>
      <c r="B1141" s="4" t="s">
        <v>36</v>
      </c>
      <c r="C1141" s="4" t="s">
        <v>96</v>
      </c>
      <c r="D1141" s="16" t="e">
        <f>I1141&amp;".txt"</f>
        <v>#REF!</v>
      </c>
      <c r="E1141" s="16" t="s">
        <v>81</v>
      </c>
      <c r="F1141" s="16" t="s">
        <v>104</v>
      </c>
      <c r="G1141" s="16" t="s">
        <v>2</v>
      </c>
      <c r="H1141" s="16" t="s">
        <v>59</v>
      </c>
      <c r="I1141" s="16" t="e">
        <f>VLOOKUP(A1141&amp;G1141&amp;H1141,#REF!,2,FALSE)</f>
        <v>#REF!</v>
      </c>
    </row>
    <row r="1142" spans="1:9" x14ac:dyDescent="0.25">
      <c r="A1142" s="4" t="s">
        <v>13</v>
      </c>
      <c r="B1142" s="4" t="s">
        <v>36</v>
      </c>
      <c r="C1142" s="4" t="s">
        <v>96</v>
      </c>
      <c r="D1142" s="16" t="e">
        <f>I1142&amp;".txt"</f>
        <v>#REF!</v>
      </c>
      <c r="E1142" s="16" t="s">
        <v>81</v>
      </c>
      <c r="F1142" s="16" t="s">
        <v>176</v>
      </c>
      <c r="G1142" s="16" t="s">
        <v>30</v>
      </c>
      <c r="H1142" s="16" t="s">
        <v>30</v>
      </c>
      <c r="I1142" s="16" t="e">
        <f>VLOOKUP(A1142&amp;G1142&amp;H1142,#REF!,2,FALSE)</f>
        <v>#REF!</v>
      </c>
    </row>
    <row r="1143" spans="1:9" x14ac:dyDescent="0.25">
      <c r="A1143" s="4" t="s">
        <v>13</v>
      </c>
      <c r="B1143" s="4" t="s">
        <v>29</v>
      </c>
      <c r="C1143" s="4" t="s">
        <v>77</v>
      </c>
      <c r="D1143" s="16" t="s">
        <v>84</v>
      </c>
      <c r="E1143" s="16" t="s">
        <v>81</v>
      </c>
      <c r="F1143" s="3"/>
      <c r="G1143" s="8"/>
      <c r="H1143" s="8"/>
      <c r="I1143" s="8"/>
    </row>
    <row r="1144" spans="1:9" x14ac:dyDescent="0.25">
      <c r="A1144" s="4" t="s">
        <v>13</v>
      </c>
      <c r="B1144" s="4" t="s">
        <v>29</v>
      </c>
      <c r="C1144" s="4" t="s">
        <v>77</v>
      </c>
      <c r="D1144" s="16" t="s">
        <v>82</v>
      </c>
      <c r="E1144" s="16" t="s">
        <v>79</v>
      </c>
      <c r="F1144" s="3"/>
      <c r="G1144" s="8"/>
      <c r="H1144" s="8"/>
      <c r="I1144" s="8"/>
    </row>
    <row r="1145" spans="1:9" x14ac:dyDescent="0.25">
      <c r="A1145" s="4" t="s">
        <v>13</v>
      </c>
      <c r="B1145" s="4" t="s">
        <v>29</v>
      </c>
      <c r="C1145" s="4" t="s">
        <v>77</v>
      </c>
      <c r="D1145" s="16" t="s">
        <v>85</v>
      </c>
      <c r="E1145" s="16" t="s">
        <v>85</v>
      </c>
      <c r="F1145" s="3"/>
      <c r="G1145" s="8"/>
      <c r="H1145" s="8"/>
      <c r="I1145" s="8"/>
    </row>
    <row r="1146" spans="1:9" x14ac:dyDescent="0.25">
      <c r="A1146" s="4" t="s">
        <v>13</v>
      </c>
      <c r="B1146" s="4" t="s">
        <v>29</v>
      </c>
      <c r="C1146" s="4" t="s">
        <v>77</v>
      </c>
      <c r="D1146" s="16" t="s">
        <v>86</v>
      </c>
      <c r="E1146" s="16" t="s">
        <v>87</v>
      </c>
      <c r="F1146" s="3"/>
      <c r="G1146" s="8"/>
      <c r="H1146" s="8"/>
      <c r="I1146" s="8"/>
    </row>
    <row r="1147" spans="1:9" x14ac:dyDescent="0.25">
      <c r="A1147" s="4" t="s">
        <v>13</v>
      </c>
      <c r="B1147" s="4" t="s">
        <v>29</v>
      </c>
      <c r="C1147" s="4" t="s">
        <v>77</v>
      </c>
      <c r="D1147" s="16" t="s">
        <v>88</v>
      </c>
      <c r="E1147" s="16" t="s">
        <v>88</v>
      </c>
      <c r="F1147" s="3"/>
      <c r="G1147" s="8"/>
      <c r="H1147" s="8"/>
      <c r="I1147" s="8"/>
    </row>
    <row r="1148" spans="1:9" x14ac:dyDescent="0.25">
      <c r="A1148" s="4" t="s">
        <v>13</v>
      </c>
      <c r="B1148" s="4" t="s">
        <v>29</v>
      </c>
      <c r="C1148" s="4" t="s">
        <v>77</v>
      </c>
      <c r="D1148" s="16" t="s">
        <v>97</v>
      </c>
      <c r="E1148" s="16" t="s">
        <v>98</v>
      </c>
      <c r="F1148" s="3"/>
      <c r="G1148" s="8"/>
      <c r="H1148" s="8"/>
      <c r="I1148" s="8"/>
    </row>
    <row r="1149" spans="1:9" x14ac:dyDescent="0.25">
      <c r="A1149" s="4" t="s">
        <v>13</v>
      </c>
      <c r="B1149" s="4" t="s">
        <v>29</v>
      </c>
      <c r="C1149" s="4" t="s">
        <v>77</v>
      </c>
      <c r="D1149" s="16" t="s">
        <v>99</v>
      </c>
      <c r="E1149" s="16" t="s">
        <v>99</v>
      </c>
      <c r="F1149" s="3"/>
      <c r="G1149" s="8"/>
      <c r="H1149" s="8"/>
      <c r="I1149" s="8"/>
    </row>
    <row r="1150" spans="1:9" x14ac:dyDescent="0.25">
      <c r="A1150" s="4" t="s">
        <v>13</v>
      </c>
      <c r="B1150" s="4" t="s">
        <v>29</v>
      </c>
      <c r="C1150" s="4" t="s">
        <v>77</v>
      </c>
      <c r="D1150" s="16" t="s">
        <v>100</v>
      </c>
      <c r="E1150" s="16" t="s">
        <v>101</v>
      </c>
      <c r="F1150" s="3"/>
      <c r="G1150" s="8"/>
      <c r="H1150" s="8"/>
      <c r="I1150" s="8"/>
    </row>
    <row r="1151" spans="1:9" x14ac:dyDescent="0.25">
      <c r="A1151" s="4" t="s">
        <v>13</v>
      </c>
      <c r="B1151" s="4" t="s">
        <v>29</v>
      </c>
      <c r="C1151" s="4" t="s">
        <v>77</v>
      </c>
      <c r="D1151" s="16" t="s">
        <v>102</v>
      </c>
      <c r="E1151" s="16" t="s">
        <v>102</v>
      </c>
      <c r="F1151" s="3"/>
      <c r="G1151" s="8"/>
      <c r="H1151" s="8"/>
      <c r="I1151" s="8"/>
    </row>
    <row r="1152" spans="1:9" x14ac:dyDescent="0.25">
      <c r="A1152" s="4" t="s">
        <v>13</v>
      </c>
      <c r="B1152" s="4" t="s">
        <v>29</v>
      </c>
      <c r="C1152" s="4" t="s">
        <v>77</v>
      </c>
      <c r="D1152" s="16" t="s">
        <v>25</v>
      </c>
      <c r="E1152" s="16" t="s">
        <v>557</v>
      </c>
      <c r="F1152" s="3"/>
      <c r="G1152" s="8"/>
      <c r="H1152" s="8"/>
      <c r="I1152" s="8"/>
    </row>
    <row r="1153" spans="1:9" x14ac:dyDescent="0.25">
      <c r="A1153" s="4" t="s">
        <v>13</v>
      </c>
      <c r="B1153" s="4" t="s">
        <v>29</v>
      </c>
      <c r="C1153" s="4" t="s">
        <v>77</v>
      </c>
      <c r="D1153" s="16" t="s">
        <v>103</v>
      </c>
      <c r="E1153" s="16" t="s">
        <v>335</v>
      </c>
      <c r="F1153" s="3"/>
      <c r="G1153" s="8"/>
      <c r="H1153" s="8"/>
      <c r="I1153" s="8"/>
    </row>
    <row r="1154" spans="1:9" x14ac:dyDescent="0.25">
      <c r="A1154" s="4" t="s">
        <v>13</v>
      </c>
      <c r="B1154" s="4" t="s">
        <v>29</v>
      </c>
      <c r="C1154" s="4" t="s">
        <v>77</v>
      </c>
      <c r="D1154" s="16" t="s">
        <v>78</v>
      </c>
      <c r="E1154" s="16" t="s">
        <v>79</v>
      </c>
      <c r="F1154" s="16" t="s">
        <v>200</v>
      </c>
      <c r="G1154" s="8"/>
      <c r="H1154" s="8"/>
      <c r="I1154" s="8"/>
    </row>
    <row r="1155" spans="1:9" x14ac:dyDescent="0.25">
      <c r="A1155" s="4" t="s">
        <v>13</v>
      </c>
      <c r="B1155" s="4" t="s">
        <v>29</v>
      </c>
      <c r="C1155" s="4" t="s">
        <v>77</v>
      </c>
      <c r="D1155" s="16" t="s">
        <v>89</v>
      </c>
      <c r="E1155" s="16" t="s">
        <v>89</v>
      </c>
      <c r="F1155" s="16" t="s">
        <v>200</v>
      </c>
      <c r="G1155" s="8"/>
      <c r="H1155" s="8"/>
      <c r="I1155" s="8"/>
    </row>
    <row r="1156" spans="1:9" x14ac:dyDescent="0.25">
      <c r="A1156" s="4" t="s">
        <v>13</v>
      </c>
      <c r="B1156" s="4" t="s">
        <v>29</v>
      </c>
      <c r="C1156" s="4" t="s">
        <v>77</v>
      </c>
      <c r="D1156" s="16" t="s">
        <v>90</v>
      </c>
      <c r="E1156" s="16" t="s">
        <v>91</v>
      </c>
      <c r="F1156" s="16" t="s">
        <v>504</v>
      </c>
      <c r="G1156" s="8"/>
      <c r="H1156" s="8"/>
      <c r="I1156" s="8"/>
    </row>
    <row r="1157" spans="1:9" x14ac:dyDescent="0.25">
      <c r="A1157" s="4" t="s">
        <v>13</v>
      </c>
      <c r="B1157" s="4" t="s">
        <v>29</v>
      </c>
      <c r="C1157" s="4" t="s">
        <v>77</v>
      </c>
      <c r="D1157" s="16" t="s">
        <v>93</v>
      </c>
      <c r="E1157" s="16" t="s">
        <v>93</v>
      </c>
      <c r="F1157" s="16" t="s">
        <v>200</v>
      </c>
      <c r="G1157" s="8"/>
      <c r="H1157" s="8"/>
      <c r="I1157" s="8"/>
    </row>
    <row r="1158" spans="1:9" x14ac:dyDescent="0.25">
      <c r="A1158" s="4" t="s">
        <v>13</v>
      </c>
      <c r="B1158" s="4" t="s">
        <v>29</v>
      </c>
      <c r="C1158" s="4" t="s">
        <v>77</v>
      </c>
      <c r="D1158" s="16" t="s">
        <v>105</v>
      </c>
      <c r="E1158" s="16" t="s">
        <v>105</v>
      </c>
      <c r="F1158" s="3"/>
      <c r="G1158" s="8"/>
      <c r="H1158" s="8"/>
      <c r="I1158" s="8"/>
    </row>
    <row r="1159" spans="1:9" ht="30" x14ac:dyDescent="0.25">
      <c r="A1159" s="4" t="s">
        <v>13</v>
      </c>
      <c r="B1159" s="4" t="s">
        <v>29</v>
      </c>
      <c r="C1159" s="4" t="s">
        <v>95</v>
      </c>
      <c r="D1159" s="16" t="e">
        <f>I1159&amp;".txt"</f>
        <v>#REF!</v>
      </c>
      <c r="E1159" s="16" t="s">
        <v>81</v>
      </c>
      <c r="F1159" s="3"/>
      <c r="G1159" s="16" t="s">
        <v>2</v>
      </c>
      <c r="H1159" s="16" t="s">
        <v>59</v>
      </c>
      <c r="I1159" s="16" t="e">
        <f>VLOOKUP(A1159&amp;G1159&amp;H1159,#REF!,2,FALSE)</f>
        <v>#REF!</v>
      </c>
    </row>
    <row r="1160" spans="1:9" ht="30" x14ac:dyDescent="0.25">
      <c r="A1160" s="4" t="s">
        <v>13</v>
      </c>
      <c r="B1160" s="4" t="s">
        <v>29</v>
      </c>
      <c r="C1160" s="4" t="s">
        <v>96</v>
      </c>
      <c r="D1160" s="16" t="e">
        <f>I1160&amp;".txt"</f>
        <v>#REF!</v>
      </c>
      <c r="E1160" s="16" t="s">
        <v>81</v>
      </c>
      <c r="F1160" s="16" t="s">
        <v>200</v>
      </c>
      <c r="G1160" s="16" t="s">
        <v>34</v>
      </c>
      <c r="H1160" s="16" t="s">
        <v>60</v>
      </c>
      <c r="I1160" s="16" t="e">
        <f>VLOOKUP(A1160&amp;G1160&amp;H1160,#REF!,2,FALSE)</f>
        <v>#REF!</v>
      </c>
    </row>
    <row r="1161" spans="1:9" x14ac:dyDescent="0.25">
      <c r="A1161" s="4" t="s">
        <v>13</v>
      </c>
      <c r="B1161" s="4" t="s">
        <v>29</v>
      </c>
      <c r="C1161" s="4" t="s">
        <v>96</v>
      </c>
      <c r="D1161" s="16" t="e">
        <f>I1161&amp;".txt"</f>
        <v>#REF!</v>
      </c>
      <c r="E1161" s="16" t="s">
        <v>81</v>
      </c>
      <c r="F1161" s="16" t="s">
        <v>92</v>
      </c>
      <c r="G1161" s="16" t="s">
        <v>4</v>
      </c>
      <c r="H1161" s="16" t="s">
        <v>33</v>
      </c>
      <c r="I1161" s="16" t="e">
        <f>VLOOKUP(A1161&amp;G1161&amp;H1161,#REF!,2,FALSE)</f>
        <v>#REF!</v>
      </c>
    </row>
    <row r="1162" spans="1:9" x14ac:dyDescent="0.25">
      <c r="A1162" s="4" t="s">
        <v>13</v>
      </c>
      <c r="B1162" s="4" t="s">
        <v>255</v>
      </c>
      <c r="C1162" s="4" t="s">
        <v>77</v>
      </c>
      <c r="D1162" s="16" t="s">
        <v>259</v>
      </c>
      <c r="E1162" s="16" t="s">
        <v>79</v>
      </c>
      <c r="F1162" s="3"/>
      <c r="G1162" s="8"/>
      <c r="H1162" s="8"/>
      <c r="I1162" s="8"/>
    </row>
    <row r="1163" spans="1:9" x14ac:dyDescent="0.25">
      <c r="A1163" s="4" t="s">
        <v>13</v>
      </c>
      <c r="B1163" s="4" t="s">
        <v>255</v>
      </c>
      <c r="C1163" s="4" t="s">
        <v>77</v>
      </c>
      <c r="D1163" s="16" t="s">
        <v>256</v>
      </c>
      <c r="E1163" s="16" t="s">
        <v>81</v>
      </c>
      <c r="F1163" s="3"/>
      <c r="G1163" s="8"/>
      <c r="H1163" s="8"/>
      <c r="I1163" s="8"/>
    </row>
    <row r="1164" spans="1:9" ht="45" x14ac:dyDescent="0.25">
      <c r="A1164" s="4" t="s">
        <v>13</v>
      </c>
      <c r="B1164" s="4" t="s">
        <v>255</v>
      </c>
      <c r="C1164" s="4" t="s">
        <v>77</v>
      </c>
      <c r="D1164" s="16" t="s">
        <v>260</v>
      </c>
      <c r="E1164" s="16" t="s">
        <v>261</v>
      </c>
      <c r="F1164" s="16" t="s">
        <v>262</v>
      </c>
      <c r="G1164" s="8"/>
      <c r="H1164" s="8"/>
      <c r="I1164" s="8"/>
    </row>
    <row r="1165" spans="1:9" ht="45" x14ac:dyDescent="0.25">
      <c r="A1165" s="4" t="s">
        <v>13</v>
      </c>
      <c r="B1165" s="4" t="s">
        <v>255</v>
      </c>
      <c r="C1165" s="4" t="s">
        <v>77</v>
      </c>
      <c r="D1165" s="16" t="s">
        <v>85</v>
      </c>
      <c r="E1165" s="16" t="s">
        <v>263</v>
      </c>
      <c r="F1165" s="16" t="s">
        <v>262</v>
      </c>
      <c r="G1165" s="8"/>
      <c r="H1165" s="8"/>
      <c r="I1165" s="8"/>
    </row>
    <row r="1166" spans="1:9" ht="45" x14ac:dyDescent="0.25">
      <c r="A1166" s="4" t="s">
        <v>13</v>
      </c>
      <c r="B1166" s="4" t="s">
        <v>255</v>
      </c>
      <c r="C1166" s="4" t="s">
        <v>77</v>
      </c>
      <c r="D1166" s="16" t="s">
        <v>265</v>
      </c>
      <c r="E1166" s="16" t="s">
        <v>266</v>
      </c>
      <c r="F1166" s="16" t="s">
        <v>262</v>
      </c>
      <c r="G1166" s="8"/>
      <c r="H1166" s="8"/>
      <c r="I1166" s="8"/>
    </row>
    <row r="1167" spans="1:9" ht="45" x14ac:dyDescent="0.25">
      <c r="A1167" s="4" t="s">
        <v>13</v>
      </c>
      <c r="B1167" s="4" t="s">
        <v>255</v>
      </c>
      <c r="C1167" s="4" t="s">
        <v>77</v>
      </c>
      <c r="D1167" s="16" t="s">
        <v>86</v>
      </c>
      <c r="E1167" s="16" t="s">
        <v>267</v>
      </c>
      <c r="F1167" s="16" t="s">
        <v>262</v>
      </c>
      <c r="G1167" s="8"/>
      <c r="H1167" s="8"/>
      <c r="I1167" s="8"/>
    </row>
    <row r="1168" spans="1:9" ht="45" x14ac:dyDescent="0.25">
      <c r="A1168" s="4" t="s">
        <v>13</v>
      </c>
      <c r="B1168" s="4" t="s">
        <v>255</v>
      </c>
      <c r="C1168" s="4" t="s">
        <v>77</v>
      </c>
      <c r="D1168" s="16" t="s">
        <v>88</v>
      </c>
      <c r="E1168" s="16" t="s">
        <v>264</v>
      </c>
      <c r="F1168" s="16" t="s">
        <v>262</v>
      </c>
      <c r="G1168" s="8"/>
      <c r="H1168" s="8"/>
      <c r="I1168" s="8"/>
    </row>
    <row r="1169" spans="1:9" x14ac:dyDescent="0.25">
      <c r="A1169" s="4" t="s">
        <v>13</v>
      </c>
      <c r="B1169" s="4" t="s">
        <v>255</v>
      </c>
      <c r="C1169" s="4" t="s">
        <v>77</v>
      </c>
      <c r="D1169" s="16" t="s">
        <v>419</v>
      </c>
      <c r="E1169" s="16" t="s">
        <v>79</v>
      </c>
      <c r="F1169" s="3"/>
      <c r="G1169" s="8"/>
      <c r="H1169" s="8"/>
      <c r="I1169" s="8"/>
    </row>
    <row r="1170" spans="1:9" x14ac:dyDescent="0.25">
      <c r="A1170" s="4" t="s">
        <v>13</v>
      </c>
      <c r="B1170" s="4" t="s">
        <v>255</v>
      </c>
      <c r="C1170" s="4" t="s">
        <v>77</v>
      </c>
      <c r="D1170" s="16" t="s">
        <v>420</v>
      </c>
      <c r="E1170" s="16" t="s">
        <v>79</v>
      </c>
      <c r="F1170" s="3"/>
      <c r="G1170" s="8"/>
      <c r="H1170" s="8"/>
      <c r="I1170" s="8"/>
    </row>
    <row r="1171" spans="1:9" x14ac:dyDescent="0.25">
      <c r="A1171" s="4" t="s">
        <v>13</v>
      </c>
      <c r="B1171" s="4" t="s">
        <v>255</v>
      </c>
      <c r="C1171" s="4" t="s">
        <v>77</v>
      </c>
      <c r="D1171" s="16" t="s">
        <v>421</v>
      </c>
      <c r="E1171" s="16" t="s">
        <v>79</v>
      </c>
      <c r="F1171" s="3"/>
      <c r="G1171" s="8"/>
      <c r="H1171" s="8"/>
      <c r="I1171" s="8"/>
    </row>
    <row r="1172" spans="1:9" x14ac:dyDescent="0.25">
      <c r="A1172" s="4" t="s">
        <v>13</v>
      </c>
      <c r="B1172" s="4" t="s">
        <v>255</v>
      </c>
      <c r="C1172" s="4" t="s">
        <v>77</v>
      </c>
      <c r="D1172" s="16" t="s">
        <v>466</v>
      </c>
      <c r="E1172" s="16" t="s">
        <v>93</v>
      </c>
      <c r="F1172" s="3"/>
      <c r="G1172" s="8"/>
      <c r="H1172" s="8"/>
      <c r="I1172" s="8"/>
    </row>
    <row r="1173" spans="1:9" x14ac:dyDescent="0.25">
      <c r="A1173" s="4" t="s">
        <v>13</v>
      </c>
      <c r="B1173" s="4" t="s">
        <v>255</v>
      </c>
      <c r="C1173" s="4" t="s">
        <v>77</v>
      </c>
      <c r="D1173" s="16" t="s">
        <v>467</v>
      </c>
      <c r="E1173" s="16" t="s">
        <v>257</v>
      </c>
      <c r="F1173" s="3"/>
      <c r="G1173" s="8"/>
      <c r="H1173" s="8"/>
      <c r="I1173" s="8"/>
    </row>
    <row r="1174" spans="1:9" x14ac:dyDescent="0.25">
      <c r="A1174" s="4" t="s">
        <v>13</v>
      </c>
      <c r="B1174" s="4" t="s">
        <v>255</v>
      </c>
      <c r="C1174" s="4" t="s">
        <v>77</v>
      </c>
      <c r="D1174" s="16" t="s">
        <v>90</v>
      </c>
      <c r="E1174" s="16" t="s">
        <v>90</v>
      </c>
      <c r="F1174" s="3"/>
      <c r="G1174" s="8"/>
      <c r="H1174" s="8"/>
      <c r="I1174" s="8"/>
    </row>
    <row r="1175" spans="1:9" x14ac:dyDescent="0.25">
      <c r="A1175" s="4" t="s">
        <v>13</v>
      </c>
      <c r="B1175" s="4" t="s">
        <v>255</v>
      </c>
      <c r="C1175" s="4" t="s">
        <v>77</v>
      </c>
      <c r="D1175" s="16" t="s">
        <v>270</v>
      </c>
      <c r="E1175" s="16" t="s">
        <v>271</v>
      </c>
      <c r="F1175" s="3"/>
      <c r="G1175" s="8"/>
      <c r="H1175" s="8"/>
      <c r="I1175" s="8"/>
    </row>
    <row r="1176" spans="1:9" x14ac:dyDescent="0.25">
      <c r="A1176" s="4" t="s">
        <v>13</v>
      </c>
      <c r="B1176" s="4" t="s">
        <v>255</v>
      </c>
      <c r="C1176" s="4" t="s">
        <v>77</v>
      </c>
      <c r="D1176" s="16" t="s">
        <v>320</v>
      </c>
      <c r="E1176" s="16" t="s">
        <v>320</v>
      </c>
      <c r="F1176" s="3"/>
      <c r="G1176" s="8"/>
      <c r="H1176" s="8"/>
      <c r="I1176" s="8"/>
    </row>
    <row r="1177" spans="1:9" x14ac:dyDescent="0.25">
      <c r="A1177" s="4" t="s">
        <v>13</v>
      </c>
      <c r="B1177" s="4" t="s">
        <v>255</v>
      </c>
      <c r="C1177" s="4" t="s">
        <v>77</v>
      </c>
      <c r="D1177" s="16" t="s">
        <v>272</v>
      </c>
      <c r="E1177" s="16" t="s">
        <v>272</v>
      </c>
      <c r="F1177" s="3"/>
      <c r="G1177" s="8"/>
      <c r="H1177" s="8"/>
      <c r="I1177" s="8"/>
    </row>
    <row r="1178" spans="1:9" ht="30" x14ac:dyDescent="0.25">
      <c r="A1178" s="4" t="s">
        <v>13</v>
      </c>
      <c r="B1178" s="4" t="s">
        <v>255</v>
      </c>
      <c r="C1178" s="4" t="s">
        <v>77</v>
      </c>
      <c r="D1178" s="16" t="s">
        <v>321</v>
      </c>
      <c r="E1178" s="16" t="s">
        <v>322</v>
      </c>
      <c r="F1178" s="16" t="s">
        <v>278</v>
      </c>
      <c r="G1178" s="8"/>
      <c r="H1178" s="8"/>
      <c r="I1178" s="8"/>
    </row>
    <row r="1179" spans="1:9" ht="30" x14ac:dyDescent="0.25">
      <c r="A1179" s="4" t="s">
        <v>13</v>
      </c>
      <c r="B1179" s="4" t="s">
        <v>255</v>
      </c>
      <c r="C1179" s="4" t="s">
        <v>77</v>
      </c>
      <c r="D1179" s="16" t="s">
        <v>323</v>
      </c>
      <c r="E1179" s="16" t="s">
        <v>324</v>
      </c>
      <c r="F1179" s="16" t="s">
        <v>278</v>
      </c>
      <c r="G1179" s="8"/>
      <c r="H1179" s="8"/>
      <c r="I1179" s="8"/>
    </row>
    <row r="1180" spans="1:9" ht="30" x14ac:dyDescent="0.25">
      <c r="A1180" s="4" t="s">
        <v>13</v>
      </c>
      <c r="B1180" s="4" t="s">
        <v>255</v>
      </c>
      <c r="C1180" s="4" t="s">
        <v>77</v>
      </c>
      <c r="D1180" s="16" t="s">
        <v>325</v>
      </c>
      <c r="E1180" s="16" t="s">
        <v>325</v>
      </c>
      <c r="F1180" s="16" t="s">
        <v>278</v>
      </c>
      <c r="G1180" s="8"/>
      <c r="H1180" s="8"/>
      <c r="I1180" s="8"/>
    </row>
    <row r="1181" spans="1:9" ht="30" x14ac:dyDescent="0.25">
      <c r="A1181" s="4" t="s">
        <v>13</v>
      </c>
      <c r="B1181" s="4" t="s">
        <v>255</v>
      </c>
      <c r="C1181" s="4" t="s">
        <v>77</v>
      </c>
      <c r="D1181" s="16" t="s">
        <v>326</v>
      </c>
      <c r="E1181" s="16" t="s">
        <v>108</v>
      </c>
      <c r="F1181" s="16" t="s">
        <v>277</v>
      </c>
      <c r="G1181" s="8"/>
      <c r="H1181" s="8"/>
      <c r="I1181" s="8"/>
    </row>
    <row r="1182" spans="1:9" ht="30" x14ac:dyDescent="0.25">
      <c r="A1182" s="4" t="s">
        <v>13</v>
      </c>
      <c r="B1182" s="4" t="s">
        <v>255</v>
      </c>
      <c r="C1182" s="4" t="s">
        <v>77</v>
      </c>
      <c r="D1182" s="16" t="s">
        <v>327</v>
      </c>
      <c r="E1182" s="16" t="s">
        <v>328</v>
      </c>
      <c r="F1182" s="16" t="s">
        <v>277</v>
      </c>
      <c r="G1182" s="8"/>
      <c r="H1182" s="8"/>
      <c r="I1182" s="8"/>
    </row>
    <row r="1183" spans="1:9" ht="30" x14ac:dyDescent="0.25">
      <c r="A1183" s="4" t="s">
        <v>13</v>
      </c>
      <c r="B1183" s="4" t="s">
        <v>255</v>
      </c>
      <c r="C1183" s="4" t="s">
        <v>95</v>
      </c>
      <c r="D1183" s="16" t="s">
        <v>273</v>
      </c>
      <c r="E1183" s="16"/>
      <c r="F1183" s="3"/>
      <c r="G1183" s="16" t="s">
        <v>34</v>
      </c>
      <c r="H1183" s="16" t="s">
        <v>60</v>
      </c>
      <c r="I1183" s="16" t="e">
        <f>VLOOKUP(A1183&amp;G1183&amp;H1183,#REF!,2,FALSE)</f>
        <v>#REF!</v>
      </c>
    </row>
    <row r="1184" spans="1:9" ht="30" x14ac:dyDescent="0.25">
      <c r="A1184" s="4" t="s">
        <v>13</v>
      </c>
      <c r="B1184" s="4" t="s">
        <v>255</v>
      </c>
      <c r="C1184" s="4" t="s">
        <v>96</v>
      </c>
      <c r="D1184" s="16" t="s">
        <v>274</v>
      </c>
      <c r="E1184" s="16" t="s">
        <v>81</v>
      </c>
      <c r="F1184" s="16" t="s">
        <v>275</v>
      </c>
      <c r="G1184" s="16" t="s">
        <v>2</v>
      </c>
      <c r="H1184" s="16" t="s">
        <v>59</v>
      </c>
      <c r="I1184" s="16" t="e">
        <f>VLOOKUP(A1184&amp;G1184&amp;H1184,#REF!,2,FALSE)</f>
        <v>#REF!</v>
      </c>
    </row>
    <row r="1185" spans="1:9" x14ac:dyDescent="0.25">
      <c r="A1185" s="4" t="s">
        <v>13</v>
      </c>
      <c r="B1185" s="4" t="s">
        <v>255</v>
      </c>
      <c r="C1185" s="4" t="s">
        <v>96</v>
      </c>
      <c r="D1185" s="16" t="e">
        <f>I1185&amp;".txt"</f>
        <v>#REF!</v>
      </c>
      <c r="E1185" s="16" t="s">
        <v>81</v>
      </c>
      <c r="F1185" s="16" t="s">
        <v>276</v>
      </c>
      <c r="G1185" s="16" t="s">
        <v>38</v>
      </c>
      <c r="H1185" s="16" t="s">
        <v>196</v>
      </c>
      <c r="I1185" s="16" t="e">
        <f>VLOOKUP(A1185&amp;G1185&amp;H1185,#REF!,2,FALSE)</f>
        <v>#REF!</v>
      </c>
    </row>
    <row r="1186" spans="1:9" ht="30" x14ac:dyDescent="0.25">
      <c r="A1186" s="4" t="s">
        <v>13</v>
      </c>
      <c r="B1186" s="4" t="s">
        <v>255</v>
      </c>
      <c r="C1186" s="4" t="s">
        <v>96</v>
      </c>
      <c r="D1186" s="16" t="e">
        <f>I1186&amp;".txt"</f>
        <v>#REF!</v>
      </c>
      <c r="E1186" s="16" t="s">
        <v>81</v>
      </c>
      <c r="F1186" s="16" t="s">
        <v>277</v>
      </c>
      <c r="G1186" s="16" t="s">
        <v>55</v>
      </c>
      <c r="H1186" s="16" t="s">
        <v>218</v>
      </c>
      <c r="I1186" s="16" t="e">
        <f>VLOOKUP(A1186&amp;G1186&amp;H1186,#REF!,2,FALSE)</f>
        <v>#REF!</v>
      </c>
    </row>
    <row r="1187" spans="1:9" ht="30" x14ac:dyDescent="0.25">
      <c r="A1187" s="4" t="s">
        <v>13</v>
      </c>
      <c r="B1187" s="4" t="s">
        <v>255</v>
      </c>
      <c r="C1187" s="4" t="s">
        <v>96</v>
      </c>
      <c r="D1187" s="16" t="e">
        <f>I1187&amp;".txt"</f>
        <v>#REF!</v>
      </c>
      <c r="E1187" s="16" t="s">
        <v>81</v>
      </c>
      <c r="F1187" s="16" t="s">
        <v>278</v>
      </c>
      <c r="G1187" s="16" t="s">
        <v>4</v>
      </c>
      <c r="H1187" s="16" t="s">
        <v>33</v>
      </c>
      <c r="I1187" s="16" t="e">
        <f>VLOOKUP(A1187&amp;G1187&amp;H1187,#REF!,2,FALSE)</f>
        <v>#REF!</v>
      </c>
    </row>
    <row r="1188" spans="1:9" x14ac:dyDescent="0.25">
      <c r="A1188" s="4" t="s">
        <v>13</v>
      </c>
      <c r="B1188" s="4" t="s">
        <v>106</v>
      </c>
      <c r="C1188" s="4" t="s">
        <v>77</v>
      </c>
      <c r="D1188" s="16" t="s">
        <v>259</v>
      </c>
      <c r="E1188" s="16" t="s">
        <v>79</v>
      </c>
      <c r="F1188" s="16"/>
      <c r="G1188" s="8"/>
      <c r="H1188" s="8"/>
      <c r="I1188" s="8"/>
    </row>
    <row r="1189" spans="1:9" x14ac:dyDescent="0.25">
      <c r="A1189" s="4" t="s">
        <v>13</v>
      </c>
      <c r="B1189" s="4" t="s">
        <v>106</v>
      </c>
      <c r="C1189" s="4" t="s">
        <v>77</v>
      </c>
      <c r="D1189" s="16" t="s">
        <v>256</v>
      </c>
      <c r="E1189" s="16" t="s">
        <v>81</v>
      </c>
      <c r="F1189" s="16"/>
      <c r="G1189" s="8"/>
      <c r="H1189" s="8"/>
      <c r="I1189" s="8"/>
    </row>
    <row r="1190" spans="1:9" ht="45" x14ac:dyDescent="0.25">
      <c r="A1190" s="4" t="s">
        <v>13</v>
      </c>
      <c r="B1190" s="4" t="s">
        <v>106</v>
      </c>
      <c r="C1190" s="4" t="s">
        <v>77</v>
      </c>
      <c r="D1190" s="16" t="s">
        <v>260</v>
      </c>
      <c r="E1190" s="16" t="s">
        <v>261</v>
      </c>
      <c r="F1190" s="16" t="s">
        <v>262</v>
      </c>
      <c r="G1190" s="8"/>
      <c r="H1190" s="8"/>
      <c r="I1190" s="8"/>
    </row>
    <row r="1191" spans="1:9" ht="45" x14ac:dyDescent="0.25">
      <c r="A1191" s="4" t="s">
        <v>13</v>
      </c>
      <c r="B1191" s="4" t="s">
        <v>106</v>
      </c>
      <c r="C1191" s="4" t="s">
        <v>77</v>
      </c>
      <c r="D1191" s="16" t="s">
        <v>85</v>
      </c>
      <c r="E1191" s="16" t="s">
        <v>263</v>
      </c>
      <c r="F1191" s="16" t="s">
        <v>262</v>
      </c>
      <c r="G1191" s="8"/>
      <c r="H1191" s="8"/>
      <c r="I1191" s="8"/>
    </row>
    <row r="1192" spans="1:9" ht="45" x14ac:dyDescent="0.25">
      <c r="A1192" s="4" t="s">
        <v>13</v>
      </c>
      <c r="B1192" s="4" t="s">
        <v>106</v>
      </c>
      <c r="C1192" s="4" t="s">
        <v>77</v>
      </c>
      <c r="D1192" s="16" t="s">
        <v>265</v>
      </c>
      <c r="E1192" s="16" t="s">
        <v>266</v>
      </c>
      <c r="F1192" s="16" t="s">
        <v>262</v>
      </c>
      <c r="G1192" s="8"/>
      <c r="H1192" s="8"/>
      <c r="I1192" s="8"/>
    </row>
    <row r="1193" spans="1:9" ht="45" x14ac:dyDescent="0.25">
      <c r="A1193" s="4" t="s">
        <v>13</v>
      </c>
      <c r="B1193" s="4" t="s">
        <v>106</v>
      </c>
      <c r="C1193" s="4" t="s">
        <v>77</v>
      </c>
      <c r="D1193" s="16" t="s">
        <v>86</v>
      </c>
      <c r="E1193" s="16" t="s">
        <v>267</v>
      </c>
      <c r="F1193" s="16" t="s">
        <v>262</v>
      </c>
      <c r="G1193" s="8"/>
      <c r="H1193" s="8"/>
      <c r="I1193" s="8"/>
    </row>
    <row r="1194" spans="1:9" ht="45" x14ac:dyDescent="0.25">
      <c r="A1194" s="4" t="s">
        <v>13</v>
      </c>
      <c r="B1194" s="4" t="s">
        <v>106</v>
      </c>
      <c r="C1194" s="4" t="s">
        <v>77</v>
      </c>
      <c r="D1194" s="16" t="s">
        <v>88</v>
      </c>
      <c r="E1194" s="16" t="s">
        <v>264</v>
      </c>
      <c r="F1194" s="16" t="s">
        <v>262</v>
      </c>
      <c r="G1194" s="8"/>
      <c r="H1194" s="8"/>
      <c r="I1194" s="8"/>
    </row>
    <row r="1195" spans="1:9" x14ac:dyDescent="0.25">
      <c r="A1195" s="4" t="s">
        <v>13</v>
      </c>
      <c r="B1195" s="4" t="s">
        <v>106</v>
      </c>
      <c r="C1195" s="4" t="s">
        <v>77</v>
      </c>
      <c r="D1195" s="16" t="s">
        <v>107</v>
      </c>
      <c r="E1195" s="16" t="s">
        <v>93</v>
      </c>
      <c r="F1195" s="3"/>
      <c r="G1195" s="8"/>
      <c r="H1195" s="8"/>
      <c r="I1195" s="8"/>
    </row>
    <row r="1196" spans="1:9" x14ac:dyDescent="0.25">
      <c r="A1196" s="4" t="s">
        <v>13</v>
      </c>
      <c r="B1196" s="4" t="s">
        <v>106</v>
      </c>
      <c r="C1196" s="4" t="s">
        <v>77</v>
      </c>
      <c r="D1196" s="16" t="s">
        <v>268</v>
      </c>
      <c r="E1196" s="16" t="s">
        <v>257</v>
      </c>
      <c r="F1196" s="3"/>
      <c r="G1196" s="8"/>
      <c r="H1196" s="8"/>
      <c r="I1196" s="8"/>
    </row>
    <row r="1197" spans="1:9" x14ac:dyDescent="0.25">
      <c r="A1197" s="4" t="s">
        <v>13</v>
      </c>
      <c r="B1197" s="4" t="s">
        <v>106</v>
      </c>
      <c r="C1197" s="4" t="s">
        <v>77</v>
      </c>
      <c r="D1197" s="16" t="s">
        <v>269</v>
      </c>
      <c r="E1197" s="16" t="s">
        <v>90</v>
      </c>
      <c r="F1197" s="3"/>
      <c r="G1197" s="8"/>
      <c r="H1197" s="8"/>
      <c r="I1197" s="8"/>
    </row>
    <row r="1198" spans="1:9" x14ac:dyDescent="0.25">
      <c r="A1198" s="4" t="s">
        <v>13</v>
      </c>
      <c r="B1198" s="4" t="s">
        <v>106</v>
      </c>
      <c r="C1198" s="4" t="s">
        <v>77</v>
      </c>
      <c r="D1198" s="16" t="s">
        <v>270</v>
      </c>
      <c r="E1198" s="16" t="s">
        <v>271</v>
      </c>
      <c r="F1198" s="3"/>
      <c r="G1198" s="8"/>
      <c r="H1198" s="8"/>
      <c r="I1198" s="8"/>
    </row>
    <row r="1199" spans="1:9" x14ac:dyDescent="0.25">
      <c r="A1199" s="4" t="s">
        <v>13</v>
      </c>
      <c r="B1199" s="4" t="s">
        <v>106</v>
      </c>
      <c r="C1199" s="4" t="s">
        <v>77</v>
      </c>
      <c r="D1199" s="16" t="s">
        <v>320</v>
      </c>
      <c r="E1199" s="16" t="s">
        <v>320</v>
      </c>
      <c r="F1199" s="3"/>
      <c r="G1199" s="8"/>
      <c r="H1199" s="8"/>
      <c r="I1199" s="8"/>
    </row>
    <row r="1200" spans="1:9" ht="30" x14ac:dyDescent="0.25">
      <c r="A1200" s="4" t="s">
        <v>13</v>
      </c>
      <c r="B1200" s="4" t="s">
        <v>106</v>
      </c>
      <c r="C1200" s="4" t="s">
        <v>77</v>
      </c>
      <c r="D1200" s="16" t="s">
        <v>386</v>
      </c>
      <c r="E1200" s="16" t="s">
        <v>386</v>
      </c>
      <c r="F1200" s="3"/>
      <c r="G1200" s="8"/>
      <c r="H1200" s="8"/>
      <c r="I1200" s="8"/>
    </row>
    <row r="1201" spans="1:9" x14ac:dyDescent="0.25">
      <c r="A1201" s="4" t="s">
        <v>13</v>
      </c>
      <c r="B1201" s="4" t="s">
        <v>106</v>
      </c>
      <c r="C1201" s="4" t="s">
        <v>77</v>
      </c>
      <c r="D1201" s="16" t="s">
        <v>272</v>
      </c>
      <c r="E1201" s="16" t="s">
        <v>272</v>
      </c>
      <c r="F1201" s="3"/>
      <c r="G1201" s="8"/>
      <c r="H1201" s="8"/>
      <c r="I1201" s="8"/>
    </row>
    <row r="1202" spans="1:9" ht="30" x14ac:dyDescent="0.25">
      <c r="A1202" s="4" t="s">
        <v>13</v>
      </c>
      <c r="B1202" s="4" t="s">
        <v>106</v>
      </c>
      <c r="C1202" s="4" t="s">
        <v>77</v>
      </c>
      <c r="D1202" s="16" t="s">
        <v>321</v>
      </c>
      <c r="E1202" s="16" t="s">
        <v>322</v>
      </c>
      <c r="F1202" s="16" t="s">
        <v>278</v>
      </c>
      <c r="G1202" s="8"/>
      <c r="H1202" s="8"/>
      <c r="I1202" s="8"/>
    </row>
    <row r="1203" spans="1:9" ht="30" x14ac:dyDescent="0.25">
      <c r="A1203" s="4" t="s">
        <v>13</v>
      </c>
      <c r="B1203" s="4" t="s">
        <v>106</v>
      </c>
      <c r="C1203" s="4" t="s">
        <v>77</v>
      </c>
      <c r="D1203" s="16" t="s">
        <v>325</v>
      </c>
      <c r="E1203" s="16" t="s">
        <v>325</v>
      </c>
      <c r="F1203" s="16" t="s">
        <v>278</v>
      </c>
      <c r="G1203" s="8"/>
      <c r="H1203" s="8"/>
      <c r="I1203" s="8"/>
    </row>
    <row r="1204" spans="1:9" ht="30" x14ac:dyDescent="0.25">
      <c r="A1204" s="4" t="s">
        <v>13</v>
      </c>
      <c r="B1204" s="4" t="s">
        <v>106</v>
      </c>
      <c r="C1204" s="4" t="s">
        <v>77</v>
      </c>
      <c r="D1204" s="16" t="s">
        <v>323</v>
      </c>
      <c r="E1204" s="16" t="s">
        <v>324</v>
      </c>
      <c r="F1204" s="16" t="s">
        <v>278</v>
      </c>
      <c r="G1204" s="8"/>
      <c r="H1204" s="8"/>
      <c r="I1204" s="8"/>
    </row>
    <row r="1205" spans="1:9" ht="30" x14ac:dyDescent="0.25">
      <c r="A1205" s="4" t="s">
        <v>13</v>
      </c>
      <c r="B1205" s="4" t="s">
        <v>106</v>
      </c>
      <c r="C1205" s="4" t="s">
        <v>77</v>
      </c>
      <c r="D1205" s="16" t="s">
        <v>326</v>
      </c>
      <c r="E1205" s="16" t="s">
        <v>108</v>
      </c>
      <c r="F1205" s="16" t="s">
        <v>277</v>
      </c>
      <c r="G1205" s="8"/>
      <c r="H1205" s="8"/>
      <c r="I1205" s="8"/>
    </row>
    <row r="1206" spans="1:9" ht="30" x14ac:dyDescent="0.25">
      <c r="A1206" s="4" t="s">
        <v>13</v>
      </c>
      <c r="B1206" s="4" t="s">
        <v>106</v>
      </c>
      <c r="C1206" s="4" t="s">
        <v>77</v>
      </c>
      <c r="D1206" s="16" t="s">
        <v>327</v>
      </c>
      <c r="E1206" s="16" t="s">
        <v>328</v>
      </c>
      <c r="F1206" s="16" t="s">
        <v>277</v>
      </c>
      <c r="G1206" s="8"/>
      <c r="H1206" s="8"/>
      <c r="I1206" s="8"/>
    </row>
    <row r="1207" spans="1:9" ht="45" x14ac:dyDescent="0.25">
      <c r="A1207" s="4" t="s">
        <v>13</v>
      </c>
      <c r="B1207" s="4" t="s">
        <v>106</v>
      </c>
      <c r="C1207" s="4" t="s">
        <v>77</v>
      </c>
      <c r="D1207" s="16" t="s">
        <v>336</v>
      </c>
      <c r="E1207" s="16" t="s">
        <v>336</v>
      </c>
      <c r="F1207" s="16" t="s">
        <v>262</v>
      </c>
      <c r="G1207" s="8"/>
      <c r="H1207" s="8"/>
      <c r="I1207" s="8"/>
    </row>
    <row r="1208" spans="1:9" ht="45" x14ac:dyDescent="0.25">
      <c r="A1208" s="4" t="s">
        <v>13</v>
      </c>
      <c r="B1208" s="4" t="s">
        <v>106</v>
      </c>
      <c r="C1208" s="4" t="s">
        <v>77</v>
      </c>
      <c r="D1208" s="16" t="s">
        <v>329</v>
      </c>
      <c r="E1208" s="16" t="s">
        <v>329</v>
      </c>
      <c r="F1208" s="16" t="s">
        <v>262</v>
      </c>
      <c r="G1208" s="8"/>
      <c r="H1208" s="8"/>
      <c r="I1208" s="8"/>
    </row>
    <row r="1209" spans="1:9" x14ac:dyDescent="0.25">
      <c r="A1209" s="4" t="s">
        <v>13</v>
      </c>
      <c r="B1209" s="4" t="s">
        <v>106</v>
      </c>
      <c r="C1209" s="4" t="s">
        <v>77</v>
      </c>
      <c r="D1209" s="16" t="s">
        <v>330</v>
      </c>
      <c r="E1209" s="16" t="s">
        <v>330</v>
      </c>
      <c r="F1209" s="3"/>
      <c r="G1209" s="8"/>
      <c r="H1209" s="8"/>
      <c r="I1209" s="8"/>
    </row>
    <row r="1210" spans="1:9" x14ac:dyDescent="0.25">
      <c r="A1210" s="4" t="s">
        <v>13</v>
      </c>
      <c r="B1210" s="4" t="s">
        <v>106</v>
      </c>
      <c r="C1210" s="4" t="s">
        <v>77</v>
      </c>
      <c r="D1210" s="16" t="s">
        <v>331</v>
      </c>
      <c r="E1210" s="16" t="s">
        <v>331</v>
      </c>
      <c r="F1210" s="3"/>
      <c r="G1210" s="8"/>
      <c r="H1210" s="8"/>
      <c r="I1210" s="8"/>
    </row>
    <row r="1211" spans="1:9" x14ac:dyDescent="0.25">
      <c r="A1211" s="4" t="s">
        <v>13</v>
      </c>
      <c r="B1211" s="4" t="s">
        <v>106</v>
      </c>
      <c r="C1211" s="4" t="s">
        <v>77</v>
      </c>
      <c r="D1211" s="16" t="s">
        <v>332</v>
      </c>
      <c r="E1211" s="16" t="s">
        <v>332</v>
      </c>
      <c r="F1211" s="3"/>
      <c r="G1211" s="8"/>
      <c r="H1211" s="8"/>
      <c r="I1211" s="8"/>
    </row>
    <row r="1212" spans="1:9" ht="30" x14ac:dyDescent="0.25">
      <c r="A1212" s="4" t="s">
        <v>13</v>
      </c>
      <c r="B1212" s="4" t="s">
        <v>106</v>
      </c>
      <c r="C1212" s="4" t="s">
        <v>95</v>
      </c>
      <c r="D1212" s="16" t="e">
        <f>I1212&amp;".txt"</f>
        <v>#REF!</v>
      </c>
      <c r="E1212" s="16"/>
      <c r="F1212" s="3"/>
      <c r="G1212" s="16" t="s">
        <v>34</v>
      </c>
      <c r="H1212" s="16" t="s">
        <v>60</v>
      </c>
      <c r="I1212" s="16" t="e">
        <f>VLOOKUP(A1212&amp;G1212&amp;H1212,#REF!,2,FALSE)</f>
        <v>#REF!</v>
      </c>
    </row>
    <row r="1213" spans="1:9" ht="30" x14ac:dyDescent="0.25">
      <c r="A1213" s="4" t="s">
        <v>13</v>
      </c>
      <c r="B1213" s="4" t="s">
        <v>106</v>
      </c>
      <c r="C1213" s="4" t="s">
        <v>96</v>
      </c>
      <c r="D1213" s="16" t="e">
        <f>I1213&amp;".txt"</f>
        <v>#REF!</v>
      </c>
      <c r="E1213" s="16" t="s">
        <v>81</v>
      </c>
      <c r="F1213" s="16" t="s">
        <v>275</v>
      </c>
      <c r="G1213" s="16" t="s">
        <v>2</v>
      </c>
      <c r="H1213" s="16" t="s">
        <v>59</v>
      </c>
      <c r="I1213" s="16" t="e">
        <f>VLOOKUP(A1213&amp;G1213&amp;H1213,#REF!,2,FALSE)</f>
        <v>#REF!</v>
      </c>
    </row>
    <row r="1214" spans="1:9" x14ac:dyDescent="0.25">
      <c r="A1214" s="4" t="s">
        <v>13</v>
      </c>
      <c r="B1214" s="4" t="s">
        <v>106</v>
      </c>
      <c r="C1214" s="4" t="s">
        <v>96</v>
      </c>
      <c r="D1214" s="16" t="e">
        <f>I1214&amp;".txt"</f>
        <v>#REF!</v>
      </c>
      <c r="E1214" s="16" t="s">
        <v>81</v>
      </c>
      <c r="F1214" s="16" t="s">
        <v>276</v>
      </c>
      <c r="G1214" s="16" t="s">
        <v>38</v>
      </c>
      <c r="H1214" s="16" t="s">
        <v>196</v>
      </c>
      <c r="I1214" s="16" t="e">
        <f>VLOOKUP(A1214&amp;G1214&amp;H1214,#REF!,2,FALSE)</f>
        <v>#REF!</v>
      </c>
    </row>
    <row r="1215" spans="1:9" ht="30" x14ac:dyDescent="0.25">
      <c r="A1215" s="4" t="s">
        <v>13</v>
      </c>
      <c r="B1215" s="4" t="s">
        <v>106</v>
      </c>
      <c r="C1215" s="4" t="s">
        <v>96</v>
      </c>
      <c r="D1215" s="16" t="e">
        <f>I1215&amp;".txt"</f>
        <v>#REF!</v>
      </c>
      <c r="E1215" s="16" t="s">
        <v>81</v>
      </c>
      <c r="F1215" s="16" t="s">
        <v>277</v>
      </c>
      <c r="G1215" s="16" t="s">
        <v>55</v>
      </c>
      <c r="H1215" s="16" t="s">
        <v>218</v>
      </c>
      <c r="I1215" s="16" t="e">
        <f>VLOOKUP(A1215&amp;G1215&amp;H1215,#REF!,2,FALSE)</f>
        <v>#REF!</v>
      </c>
    </row>
    <row r="1216" spans="1:9" ht="30" x14ac:dyDescent="0.25">
      <c r="A1216" s="4" t="s">
        <v>13</v>
      </c>
      <c r="B1216" s="4" t="s">
        <v>106</v>
      </c>
      <c r="C1216" s="4" t="s">
        <v>96</v>
      </c>
      <c r="D1216" s="16" t="e">
        <f>I1216&amp;".txt"</f>
        <v>#REF!</v>
      </c>
      <c r="E1216" s="16" t="s">
        <v>81</v>
      </c>
      <c r="F1216" s="16" t="s">
        <v>278</v>
      </c>
      <c r="G1216" s="16" t="s">
        <v>4</v>
      </c>
      <c r="H1216" s="16" t="s">
        <v>33</v>
      </c>
      <c r="I1216" s="16" t="e">
        <f>VLOOKUP(A1216&amp;G1216&amp;H1216,#REF!,2,FALSE)</f>
        <v>#REF!</v>
      </c>
    </row>
    <row r="1217" spans="1:9" ht="15.75" x14ac:dyDescent="0.25">
      <c r="A1217" s="4" t="s">
        <v>456</v>
      </c>
      <c r="B1217" s="4" t="s">
        <v>30</v>
      </c>
      <c r="C1217" s="4" t="s">
        <v>77</v>
      </c>
      <c r="D1217" s="24" t="s">
        <v>110</v>
      </c>
      <c r="E1217" s="16" t="s">
        <v>81</v>
      </c>
      <c r="F1217" s="3"/>
      <c r="G1217" s="8"/>
      <c r="H1217" s="8"/>
      <c r="I1217" s="8"/>
    </row>
    <row r="1218" spans="1:9" ht="15.75" x14ac:dyDescent="0.25">
      <c r="A1218" s="4" t="s">
        <v>456</v>
      </c>
      <c r="B1218" s="4" t="s">
        <v>30</v>
      </c>
      <c r="C1218" s="4" t="s">
        <v>77</v>
      </c>
      <c r="D1218" s="24"/>
      <c r="E1218" s="16" t="s">
        <v>1</v>
      </c>
      <c r="F1218" s="3"/>
      <c r="G1218" s="8"/>
      <c r="H1218" s="8"/>
      <c r="I1218" s="8"/>
    </row>
    <row r="1219" spans="1:9" ht="15.75" x14ac:dyDescent="0.25">
      <c r="A1219" s="4" t="s">
        <v>456</v>
      </c>
      <c r="B1219" s="4" t="s">
        <v>30</v>
      </c>
      <c r="C1219" s="4" t="s">
        <v>77</v>
      </c>
      <c r="D1219" s="24" t="s">
        <v>220</v>
      </c>
      <c r="E1219" s="16" t="s">
        <v>242</v>
      </c>
      <c r="F1219" s="3"/>
      <c r="G1219" s="8"/>
      <c r="H1219" s="8"/>
      <c r="I1219" s="8"/>
    </row>
    <row r="1220" spans="1:9" ht="15.75" x14ac:dyDescent="0.25">
      <c r="A1220" s="4" t="s">
        <v>456</v>
      </c>
      <c r="B1220" s="4" t="s">
        <v>30</v>
      </c>
      <c r="C1220" s="4" t="s">
        <v>77</v>
      </c>
      <c r="D1220" s="24" t="s">
        <v>221</v>
      </c>
      <c r="E1220" s="16" t="s">
        <v>243</v>
      </c>
      <c r="F1220" s="3"/>
      <c r="G1220" s="8"/>
      <c r="H1220" s="8"/>
      <c r="I1220" s="8"/>
    </row>
    <row r="1221" spans="1:9" x14ac:dyDescent="0.25">
      <c r="A1221" s="4" t="s">
        <v>456</v>
      </c>
      <c r="B1221" s="4" t="s">
        <v>30</v>
      </c>
      <c r="C1221" s="4" t="s">
        <v>77</v>
      </c>
      <c r="D1221" s="22" t="s">
        <v>222</v>
      </c>
      <c r="E1221" s="22" t="s">
        <v>203</v>
      </c>
      <c r="F1221" s="3"/>
      <c r="G1221" s="8"/>
      <c r="H1221" s="8"/>
      <c r="I1221" s="8"/>
    </row>
    <row r="1222" spans="1:9" ht="15.75" x14ac:dyDescent="0.25">
      <c r="A1222" s="4" t="s">
        <v>456</v>
      </c>
      <c r="B1222" s="4" t="s">
        <v>30</v>
      </c>
      <c r="C1222" s="4" t="s">
        <v>77</v>
      </c>
      <c r="D1222" s="24" t="s">
        <v>223</v>
      </c>
      <c r="E1222" s="16" t="s">
        <v>223</v>
      </c>
      <c r="F1222" s="3"/>
      <c r="G1222" s="8"/>
      <c r="H1222" s="8"/>
      <c r="I1222" s="8"/>
    </row>
    <row r="1223" spans="1:9" ht="15.75" x14ac:dyDescent="0.25">
      <c r="A1223" s="4" t="s">
        <v>456</v>
      </c>
      <c r="B1223" s="4" t="s">
        <v>30</v>
      </c>
      <c r="C1223" s="4" t="s">
        <v>77</v>
      </c>
      <c r="D1223" s="24" t="s">
        <v>224</v>
      </c>
      <c r="E1223" s="16" t="s">
        <v>224</v>
      </c>
      <c r="F1223" s="3"/>
      <c r="G1223" s="8"/>
      <c r="H1223" s="8"/>
      <c r="I1223" s="8"/>
    </row>
    <row r="1224" spans="1:9" ht="15.75" x14ac:dyDescent="0.25">
      <c r="A1224" s="4" t="s">
        <v>456</v>
      </c>
      <c r="B1224" s="4" t="s">
        <v>30</v>
      </c>
      <c r="C1224" s="4" t="s">
        <v>77</v>
      </c>
      <c r="D1224" s="24" t="s">
        <v>155</v>
      </c>
      <c r="E1224" s="16" t="s">
        <v>155</v>
      </c>
      <c r="F1224" s="3"/>
      <c r="G1224" s="8"/>
      <c r="H1224" s="8"/>
      <c r="I1224" s="8"/>
    </row>
    <row r="1225" spans="1:9" ht="15.75" x14ac:dyDescent="0.25">
      <c r="A1225" s="4" t="s">
        <v>456</v>
      </c>
      <c r="B1225" s="4" t="s">
        <v>30</v>
      </c>
      <c r="C1225" s="4" t="s">
        <v>77</v>
      </c>
      <c r="D1225" s="24" t="s">
        <v>225</v>
      </c>
      <c r="E1225" s="16" t="s">
        <v>244</v>
      </c>
      <c r="F1225" s="3"/>
      <c r="G1225" s="8"/>
      <c r="H1225" s="8"/>
      <c r="I1225" s="8"/>
    </row>
    <row r="1226" spans="1:9" ht="15.75" x14ac:dyDescent="0.25">
      <c r="A1226" s="4" t="s">
        <v>456</v>
      </c>
      <c r="B1226" s="4" t="s">
        <v>30</v>
      </c>
      <c r="C1226" s="4" t="s">
        <v>77</v>
      </c>
      <c r="D1226" s="24" t="s">
        <v>226</v>
      </c>
      <c r="E1226" s="16" t="s">
        <v>245</v>
      </c>
      <c r="F1226" s="3"/>
      <c r="G1226" s="8"/>
      <c r="H1226" s="8"/>
      <c r="I1226" s="8"/>
    </row>
    <row r="1227" spans="1:9" ht="15.75" x14ac:dyDescent="0.25">
      <c r="A1227" s="4" t="s">
        <v>456</v>
      </c>
      <c r="B1227" s="4" t="s">
        <v>30</v>
      </c>
      <c r="C1227" s="4" t="s">
        <v>77</v>
      </c>
      <c r="D1227" s="24" t="s">
        <v>227</v>
      </c>
      <c r="E1227" s="16" t="s">
        <v>246</v>
      </c>
      <c r="F1227" s="3"/>
      <c r="G1227" s="8"/>
      <c r="H1227" s="8"/>
      <c r="I1227" s="8"/>
    </row>
    <row r="1228" spans="1:9" ht="15.75" x14ac:dyDescent="0.25">
      <c r="A1228" s="4" t="s">
        <v>456</v>
      </c>
      <c r="B1228" s="4" t="s">
        <v>30</v>
      </c>
      <c r="C1228" s="4" t="s">
        <v>77</v>
      </c>
      <c r="D1228" s="24" t="s">
        <v>228</v>
      </c>
      <c r="E1228" s="16" t="s">
        <v>247</v>
      </c>
      <c r="F1228" s="3"/>
      <c r="G1228" s="8"/>
      <c r="H1228" s="8"/>
      <c r="I1228" s="8"/>
    </row>
    <row r="1229" spans="1:9" ht="15.75" x14ac:dyDescent="0.25">
      <c r="A1229" s="4" t="s">
        <v>456</v>
      </c>
      <c r="B1229" s="4" t="s">
        <v>30</v>
      </c>
      <c r="C1229" s="4" t="s">
        <v>77</v>
      </c>
      <c r="D1229" s="24" t="s">
        <v>229</v>
      </c>
      <c r="E1229" s="16" t="s">
        <v>229</v>
      </c>
      <c r="F1229" s="3"/>
      <c r="G1229" s="8"/>
      <c r="H1229" s="8"/>
      <c r="I1229" s="8"/>
    </row>
    <row r="1230" spans="1:9" ht="15.75" x14ac:dyDescent="0.25">
      <c r="A1230" s="4" t="s">
        <v>456</v>
      </c>
      <c r="B1230" s="4" t="s">
        <v>30</v>
      </c>
      <c r="C1230" s="4" t="s">
        <v>77</v>
      </c>
      <c r="D1230" s="24" t="s">
        <v>230</v>
      </c>
      <c r="E1230" s="16" t="s">
        <v>81</v>
      </c>
      <c r="F1230" s="16" t="s">
        <v>240</v>
      </c>
      <c r="G1230" s="8"/>
      <c r="H1230" s="8"/>
      <c r="I1230" s="8"/>
    </row>
    <row r="1231" spans="1:9" ht="15.75" x14ac:dyDescent="0.25">
      <c r="A1231" s="4" t="s">
        <v>456</v>
      </c>
      <c r="B1231" s="4" t="s">
        <v>30</v>
      </c>
      <c r="C1231" s="4" t="s">
        <v>77</v>
      </c>
      <c r="D1231" s="24" t="s">
        <v>231</v>
      </c>
      <c r="E1231" s="16" t="s">
        <v>231</v>
      </c>
      <c r="F1231" s="3"/>
      <c r="G1231" s="8"/>
      <c r="H1231" s="8"/>
      <c r="I1231" s="8"/>
    </row>
    <row r="1232" spans="1:9" ht="15.75" x14ac:dyDescent="0.25">
      <c r="A1232" s="4" t="s">
        <v>456</v>
      </c>
      <c r="B1232" s="4" t="s">
        <v>30</v>
      </c>
      <c r="C1232" s="4" t="s">
        <v>77</v>
      </c>
      <c r="D1232" s="24" t="s">
        <v>232</v>
      </c>
      <c r="E1232" s="16" t="s">
        <v>81</v>
      </c>
      <c r="F1232" s="16" t="s">
        <v>241</v>
      </c>
      <c r="G1232" s="8"/>
      <c r="H1232" s="8"/>
      <c r="I1232" s="8"/>
    </row>
    <row r="1233" spans="1:9" ht="15.75" x14ac:dyDescent="0.25">
      <c r="A1233" s="4" t="s">
        <v>456</v>
      </c>
      <c r="B1233" s="4" t="s">
        <v>30</v>
      </c>
      <c r="C1233" s="4" t="s">
        <v>77</v>
      </c>
      <c r="D1233" s="24" t="s">
        <v>233</v>
      </c>
      <c r="E1233" s="16" t="s">
        <v>87</v>
      </c>
      <c r="F1233" s="3"/>
      <c r="G1233" s="8"/>
      <c r="H1233" s="8"/>
      <c r="I1233" s="8"/>
    </row>
    <row r="1234" spans="1:9" ht="15.75" x14ac:dyDescent="0.25">
      <c r="A1234" s="4" t="s">
        <v>456</v>
      </c>
      <c r="B1234" s="4" t="s">
        <v>30</v>
      </c>
      <c r="C1234" s="4" t="s">
        <v>77</v>
      </c>
      <c r="D1234" s="24" t="s">
        <v>234</v>
      </c>
      <c r="E1234" s="16" t="s">
        <v>248</v>
      </c>
      <c r="F1234" s="3"/>
      <c r="G1234" s="8"/>
      <c r="H1234" s="8"/>
      <c r="I1234" s="8"/>
    </row>
    <row r="1235" spans="1:9" ht="15.75" x14ac:dyDescent="0.25">
      <c r="A1235" s="4" t="s">
        <v>456</v>
      </c>
      <c r="B1235" s="4" t="s">
        <v>30</v>
      </c>
      <c r="C1235" s="4" t="s">
        <v>77</v>
      </c>
      <c r="D1235" s="24" t="s">
        <v>235</v>
      </c>
      <c r="E1235" s="16" t="s">
        <v>249</v>
      </c>
      <c r="F1235" s="3"/>
      <c r="G1235" s="8"/>
      <c r="H1235" s="8"/>
      <c r="I1235" s="8"/>
    </row>
    <row r="1236" spans="1:9" ht="15.75" x14ac:dyDescent="0.25">
      <c r="A1236" s="4" t="s">
        <v>456</v>
      </c>
      <c r="B1236" s="4" t="s">
        <v>30</v>
      </c>
      <c r="C1236" s="4" t="s">
        <v>77</v>
      </c>
      <c r="D1236" s="24" t="s">
        <v>236</v>
      </c>
      <c r="E1236" s="16" t="s">
        <v>250</v>
      </c>
      <c r="F1236" s="3"/>
      <c r="G1236" s="8"/>
      <c r="H1236" s="8"/>
      <c r="I1236" s="8"/>
    </row>
    <row r="1237" spans="1:9" ht="15.75" x14ac:dyDescent="0.25">
      <c r="A1237" s="4" t="s">
        <v>456</v>
      </c>
      <c r="B1237" s="4" t="s">
        <v>30</v>
      </c>
      <c r="C1237" s="4" t="s">
        <v>77</v>
      </c>
      <c r="D1237" s="24" t="s">
        <v>237</v>
      </c>
      <c r="E1237" s="16" t="s">
        <v>237</v>
      </c>
      <c r="F1237" s="3"/>
      <c r="G1237" s="8"/>
      <c r="H1237" s="8"/>
      <c r="I1237" s="8"/>
    </row>
    <row r="1238" spans="1:9" ht="15.75" x14ac:dyDescent="0.25">
      <c r="A1238" s="4" t="s">
        <v>456</v>
      </c>
      <c r="B1238" s="4" t="s">
        <v>30</v>
      </c>
      <c r="C1238" s="4" t="s">
        <v>77</v>
      </c>
      <c r="D1238" s="24" t="s">
        <v>172</v>
      </c>
      <c r="E1238" s="16" t="s">
        <v>251</v>
      </c>
      <c r="F1238" s="3"/>
      <c r="G1238" s="8"/>
      <c r="H1238" s="8"/>
      <c r="I1238" s="8"/>
    </row>
    <row r="1239" spans="1:9" ht="15.75" x14ac:dyDescent="0.25">
      <c r="A1239" s="4" t="s">
        <v>456</v>
      </c>
      <c r="B1239" s="4" t="s">
        <v>30</v>
      </c>
      <c r="C1239" s="4" t="s">
        <v>77</v>
      </c>
      <c r="D1239" s="24" t="s">
        <v>238</v>
      </c>
      <c r="E1239" s="16" t="s">
        <v>238</v>
      </c>
      <c r="F1239" s="3"/>
      <c r="G1239" s="8"/>
      <c r="H1239" s="8"/>
      <c r="I1239" s="8"/>
    </row>
    <row r="1240" spans="1:9" ht="15.75" x14ac:dyDescent="0.25">
      <c r="A1240" s="4" t="s">
        <v>456</v>
      </c>
      <c r="B1240" s="4" t="s">
        <v>30</v>
      </c>
      <c r="C1240" s="4" t="s">
        <v>77</v>
      </c>
      <c r="D1240" s="24" t="s">
        <v>239</v>
      </c>
      <c r="E1240" s="16" t="s">
        <v>239</v>
      </c>
      <c r="F1240" s="3"/>
      <c r="G1240" s="8"/>
      <c r="H1240" s="8"/>
      <c r="I1240" s="8"/>
    </row>
    <row r="1241" spans="1:9" x14ac:dyDescent="0.25">
      <c r="A1241" s="4" t="s">
        <v>456</v>
      </c>
      <c r="B1241" s="4" t="s">
        <v>30</v>
      </c>
      <c r="C1241" s="4" t="s">
        <v>95</v>
      </c>
      <c r="D1241" s="16" t="s">
        <v>623</v>
      </c>
      <c r="E1241" s="16"/>
      <c r="F1241" s="3"/>
      <c r="G1241" s="16" t="s">
        <v>30</v>
      </c>
      <c r="H1241" s="16" t="s">
        <v>591</v>
      </c>
      <c r="I1241" s="16" t="e">
        <f>VLOOKUP(A1241&amp;G1241&amp;H1241,#REF!,2,FALSE)</f>
        <v>#REF!</v>
      </c>
    </row>
    <row r="1242" spans="1:9" x14ac:dyDescent="0.25">
      <c r="A1242" s="4" t="s">
        <v>456</v>
      </c>
      <c r="B1242" s="4" t="s">
        <v>30</v>
      </c>
      <c r="C1242" s="4" t="s">
        <v>96</v>
      </c>
      <c r="D1242" s="16" t="s">
        <v>620</v>
      </c>
      <c r="E1242" s="16" t="s">
        <v>81</v>
      </c>
      <c r="F1242" s="16" t="s">
        <v>240</v>
      </c>
      <c r="G1242" s="16" t="s">
        <v>10</v>
      </c>
      <c r="H1242" s="16" t="s">
        <v>10</v>
      </c>
      <c r="I1242" s="16" t="e">
        <f>VLOOKUP(A1242&amp;G1242&amp;H1242,#REF!,2,FALSE)</f>
        <v>#REF!</v>
      </c>
    </row>
    <row r="1243" spans="1:9" x14ac:dyDescent="0.25">
      <c r="A1243" s="4" t="s">
        <v>456</v>
      </c>
      <c r="B1243" s="4" t="s">
        <v>30</v>
      </c>
      <c r="C1243" s="4" t="s">
        <v>96</v>
      </c>
      <c r="D1243" s="16" t="s">
        <v>622</v>
      </c>
      <c r="E1243" s="16" t="s">
        <v>81</v>
      </c>
      <c r="F1243" s="16" t="s">
        <v>241</v>
      </c>
      <c r="G1243" s="16" t="s">
        <v>36</v>
      </c>
      <c r="H1243" s="16" t="s">
        <v>36</v>
      </c>
      <c r="I1243" s="16" t="e">
        <f>VLOOKUP(A1243&amp;G1243&amp;H1243,#REF!,2,FALSE)</f>
        <v>#REF!</v>
      </c>
    </row>
    <row r="1244" spans="1:9" x14ac:dyDescent="0.25">
      <c r="A1244" s="4" t="s">
        <v>456</v>
      </c>
      <c r="B1244" s="4" t="s">
        <v>460</v>
      </c>
      <c r="C1244" s="4" t="s">
        <v>77</v>
      </c>
      <c r="D1244" s="16" t="s">
        <v>82</v>
      </c>
      <c r="E1244" s="16" t="s">
        <v>79</v>
      </c>
      <c r="F1244" s="3"/>
      <c r="G1244" s="8"/>
      <c r="H1244" s="8"/>
      <c r="I1244" s="8"/>
    </row>
    <row r="1245" spans="1:9" x14ac:dyDescent="0.25">
      <c r="A1245" s="4" t="s">
        <v>456</v>
      </c>
      <c r="B1245" s="4" t="s">
        <v>460</v>
      </c>
      <c r="C1245" s="4" t="s">
        <v>77</v>
      </c>
      <c r="D1245" s="16" t="s">
        <v>84</v>
      </c>
      <c r="E1245" s="16" t="s">
        <v>81</v>
      </c>
      <c r="F1245" s="3"/>
      <c r="G1245" s="8"/>
      <c r="H1245" s="8"/>
      <c r="I1245" s="8"/>
    </row>
    <row r="1246" spans="1:9" x14ac:dyDescent="0.25">
      <c r="A1246" s="4" t="s">
        <v>456</v>
      </c>
      <c r="B1246" s="4" t="s">
        <v>460</v>
      </c>
      <c r="C1246" s="4" t="s">
        <v>77</v>
      </c>
      <c r="D1246" s="16" t="s">
        <v>443</v>
      </c>
      <c r="E1246" s="16" t="s">
        <v>443</v>
      </c>
      <c r="F1246" s="3"/>
      <c r="G1246" s="8"/>
      <c r="H1246" s="8"/>
      <c r="I1246" s="8"/>
    </row>
    <row r="1247" spans="1:9" x14ac:dyDescent="0.25">
      <c r="A1247" s="4" t="s">
        <v>456</v>
      </c>
      <c r="B1247" s="4" t="s">
        <v>460</v>
      </c>
      <c r="C1247" s="4" t="s">
        <v>77</v>
      </c>
      <c r="D1247" s="16" t="s">
        <v>86</v>
      </c>
      <c r="E1247" s="16" t="s">
        <v>87</v>
      </c>
      <c r="F1247" s="3"/>
      <c r="G1247" s="8"/>
      <c r="H1247" s="8"/>
      <c r="I1247" s="8"/>
    </row>
    <row r="1248" spans="1:9" x14ac:dyDescent="0.25">
      <c r="A1248" s="4" t="s">
        <v>456</v>
      </c>
      <c r="B1248" s="4" t="s">
        <v>460</v>
      </c>
      <c r="C1248" s="4" t="s">
        <v>77</v>
      </c>
      <c r="D1248" s="16" t="s">
        <v>88</v>
      </c>
      <c r="E1248" s="16" t="s">
        <v>88</v>
      </c>
      <c r="F1248" s="3"/>
      <c r="G1248" s="8"/>
      <c r="H1248" s="8"/>
      <c r="I1248" s="8"/>
    </row>
    <row r="1249" spans="1:9" x14ac:dyDescent="0.25">
      <c r="A1249" s="4" t="s">
        <v>456</v>
      </c>
      <c r="B1249" s="4" t="s">
        <v>460</v>
      </c>
      <c r="C1249" s="4" t="s">
        <v>77</v>
      </c>
      <c r="D1249" s="16" t="s">
        <v>412</v>
      </c>
      <c r="E1249" s="16" t="s">
        <v>419</v>
      </c>
      <c r="F1249" s="3"/>
      <c r="G1249" s="8"/>
      <c r="H1249" s="8"/>
      <c r="I1249" s="8"/>
    </row>
    <row r="1250" spans="1:9" x14ac:dyDescent="0.25">
      <c r="A1250" s="4" t="s">
        <v>456</v>
      </c>
      <c r="B1250" s="4" t="s">
        <v>460</v>
      </c>
      <c r="C1250" s="4" t="s">
        <v>77</v>
      </c>
      <c r="D1250" s="16" t="s">
        <v>105</v>
      </c>
      <c r="E1250" s="16" t="s">
        <v>105</v>
      </c>
      <c r="F1250" s="3"/>
      <c r="G1250" s="8"/>
      <c r="H1250" s="8"/>
      <c r="I1250" s="8"/>
    </row>
    <row r="1251" spans="1:9" ht="30" x14ac:dyDescent="0.25">
      <c r="A1251" s="4" t="s">
        <v>456</v>
      </c>
      <c r="B1251" s="4" t="s">
        <v>460</v>
      </c>
      <c r="C1251" s="4" t="s">
        <v>95</v>
      </c>
      <c r="D1251" s="16" t="s">
        <v>613</v>
      </c>
      <c r="E1251" s="16" t="s">
        <v>81</v>
      </c>
      <c r="F1251" s="3"/>
      <c r="G1251" s="16" t="s">
        <v>2</v>
      </c>
      <c r="H1251" s="16" t="s">
        <v>460</v>
      </c>
      <c r="I1251" s="16" t="e">
        <f>VLOOKUP(A1251&amp;G1251&amp;H1251,#REF!,2,FALSE)</f>
        <v>#REF!</v>
      </c>
    </row>
    <row r="1252" spans="1:9" x14ac:dyDescent="0.25">
      <c r="A1252" s="4" t="s">
        <v>456</v>
      </c>
      <c r="B1252" s="4" t="s">
        <v>109</v>
      </c>
      <c r="C1252" s="4" t="s">
        <v>77</v>
      </c>
      <c r="D1252" s="5" t="s">
        <v>110</v>
      </c>
      <c r="E1252" s="16" t="s">
        <v>81</v>
      </c>
      <c r="F1252" s="3"/>
      <c r="G1252" s="8"/>
      <c r="H1252" s="8"/>
      <c r="I1252" s="8"/>
    </row>
    <row r="1253" spans="1:9" x14ac:dyDescent="0.25">
      <c r="A1253" s="4" t="s">
        <v>456</v>
      </c>
      <c r="B1253" s="4" t="s">
        <v>109</v>
      </c>
      <c r="C1253" s="4" t="s">
        <v>77</v>
      </c>
      <c r="D1253" s="6" t="s">
        <v>111</v>
      </c>
      <c r="E1253" s="16" t="s">
        <v>111</v>
      </c>
      <c r="F1253" s="3"/>
      <c r="G1253" s="8"/>
      <c r="H1253" s="8"/>
      <c r="I1253" s="8"/>
    </row>
    <row r="1254" spans="1:9" x14ac:dyDescent="0.25">
      <c r="A1254" s="4" t="s">
        <v>456</v>
      </c>
      <c r="B1254" s="4" t="s">
        <v>109</v>
      </c>
      <c r="C1254" s="4" t="s">
        <v>77</v>
      </c>
      <c r="D1254" s="6" t="s">
        <v>112</v>
      </c>
      <c r="E1254" s="16" t="s">
        <v>334</v>
      </c>
      <c r="F1254" s="3"/>
      <c r="G1254" s="8"/>
      <c r="H1254" s="8"/>
      <c r="I1254" s="8"/>
    </row>
    <row r="1255" spans="1:9" x14ac:dyDescent="0.25">
      <c r="A1255" s="4" t="s">
        <v>456</v>
      </c>
      <c r="B1255" s="4" t="s">
        <v>109</v>
      </c>
      <c r="C1255" s="4" t="s">
        <v>77</v>
      </c>
      <c r="D1255" s="6" t="s">
        <v>113</v>
      </c>
      <c r="E1255" s="16" t="s">
        <v>113</v>
      </c>
      <c r="F1255" s="3"/>
      <c r="G1255" s="8"/>
      <c r="H1255" s="8"/>
      <c r="I1255" s="8"/>
    </row>
    <row r="1256" spans="1:9" x14ac:dyDescent="0.25">
      <c r="A1256" s="4" t="s">
        <v>456</v>
      </c>
      <c r="B1256" s="4" t="s">
        <v>109</v>
      </c>
      <c r="C1256" s="4" t="s">
        <v>77</v>
      </c>
      <c r="D1256" s="6" t="s">
        <v>114</v>
      </c>
      <c r="E1256" s="16" t="s">
        <v>114</v>
      </c>
      <c r="F1256" s="3"/>
      <c r="G1256" s="8"/>
      <c r="H1256" s="8"/>
      <c r="I1256" s="8"/>
    </row>
    <row r="1257" spans="1:9" x14ac:dyDescent="0.25">
      <c r="A1257" s="4" t="s">
        <v>456</v>
      </c>
      <c r="B1257" s="4" t="s">
        <v>109</v>
      </c>
      <c r="C1257" s="4" t="s">
        <v>77</v>
      </c>
      <c r="D1257" s="6" t="s">
        <v>115</v>
      </c>
      <c r="E1257" s="16" t="s">
        <v>619</v>
      </c>
      <c r="F1257" s="16" t="s">
        <v>117</v>
      </c>
      <c r="G1257" s="8"/>
      <c r="H1257" s="8"/>
      <c r="I1257" s="8"/>
    </row>
    <row r="1258" spans="1:9" x14ac:dyDescent="0.25">
      <c r="A1258" s="4" t="s">
        <v>456</v>
      </c>
      <c r="B1258" s="4" t="s">
        <v>109</v>
      </c>
      <c r="C1258" s="4" t="s">
        <v>77</v>
      </c>
      <c r="D1258" s="7" t="s">
        <v>118</v>
      </c>
      <c r="E1258" s="16" t="s">
        <v>118</v>
      </c>
      <c r="F1258" s="3"/>
      <c r="G1258" s="8"/>
      <c r="H1258" s="8"/>
      <c r="I1258" s="8"/>
    </row>
    <row r="1259" spans="1:9" x14ac:dyDescent="0.25">
      <c r="A1259" s="4" t="s">
        <v>456</v>
      </c>
      <c r="B1259" s="4" t="s">
        <v>109</v>
      </c>
      <c r="C1259" s="4" t="s">
        <v>77</v>
      </c>
      <c r="D1259" s="7" t="s">
        <v>119</v>
      </c>
      <c r="E1259" s="16" t="s">
        <v>120</v>
      </c>
      <c r="F1259" s="3"/>
      <c r="G1259" s="8"/>
      <c r="H1259" s="8"/>
      <c r="I1259" s="8"/>
    </row>
    <row r="1260" spans="1:9" x14ac:dyDescent="0.25">
      <c r="A1260" s="4" t="s">
        <v>456</v>
      </c>
      <c r="B1260" s="4" t="s">
        <v>109</v>
      </c>
      <c r="C1260" s="4" t="s">
        <v>77</v>
      </c>
      <c r="D1260" s="30" t="s">
        <v>121</v>
      </c>
      <c r="E1260" s="16" t="s">
        <v>121</v>
      </c>
      <c r="F1260" s="3"/>
      <c r="G1260" s="8"/>
      <c r="H1260" s="8"/>
      <c r="I1260" s="8"/>
    </row>
    <row r="1261" spans="1:9" x14ac:dyDescent="0.25">
      <c r="A1261" s="4" t="s">
        <v>456</v>
      </c>
      <c r="B1261" s="4" t="s">
        <v>109</v>
      </c>
      <c r="C1261" s="4" t="s">
        <v>77</v>
      </c>
      <c r="D1261" s="30" t="s">
        <v>122</v>
      </c>
      <c r="E1261" s="16" t="s">
        <v>122</v>
      </c>
      <c r="F1261" s="3"/>
      <c r="G1261" s="8"/>
      <c r="H1261" s="8"/>
      <c r="I1261" s="8"/>
    </row>
    <row r="1262" spans="1:9" x14ac:dyDescent="0.25">
      <c r="A1262" s="4" t="s">
        <v>456</v>
      </c>
      <c r="B1262" s="4" t="s">
        <v>109</v>
      </c>
      <c r="C1262" s="4" t="s">
        <v>77</v>
      </c>
      <c r="D1262" s="29" t="s">
        <v>123</v>
      </c>
      <c r="E1262" s="16" t="s">
        <v>87</v>
      </c>
      <c r="F1262" s="3"/>
      <c r="G1262" s="8"/>
      <c r="H1262" s="8"/>
      <c r="I1262" s="8"/>
    </row>
    <row r="1263" spans="1:9" x14ac:dyDescent="0.25">
      <c r="A1263" s="4" t="s">
        <v>456</v>
      </c>
      <c r="B1263" s="4" t="s">
        <v>109</v>
      </c>
      <c r="C1263" s="4" t="s">
        <v>77</v>
      </c>
      <c r="D1263" s="29" t="s">
        <v>124</v>
      </c>
      <c r="E1263" s="16" t="s">
        <v>125</v>
      </c>
      <c r="F1263" s="16" t="s">
        <v>126</v>
      </c>
      <c r="G1263" s="8"/>
      <c r="H1263" s="8"/>
      <c r="I1263" s="8"/>
    </row>
    <row r="1264" spans="1:9" x14ac:dyDescent="0.25">
      <c r="A1264" s="4" t="s">
        <v>456</v>
      </c>
      <c r="B1264" s="4" t="s">
        <v>109</v>
      </c>
      <c r="C1264" s="4" t="s">
        <v>77</v>
      </c>
      <c r="D1264" s="29" t="s">
        <v>127</v>
      </c>
      <c r="E1264" s="16" t="s">
        <v>127</v>
      </c>
      <c r="F1264" s="3"/>
      <c r="G1264" s="8"/>
      <c r="H1264" s="8"/>
      <c r="I1264" s="8"/>
    </row>
    <row r="1265" spans="1:9" x14ac:dyDescent="0.25">
      <c r="A1265" s="4" t="s">
        <v>456</v>
      </c>
      <c r="B1265" s="4" t="s">
        <v>109</v>
      </c>
      <c r="C1265" s="4" t="s">
        <v>77</v>
      </c>
      <c r="D1265" s="29" t="s">
        <v>128</v>
      </c>
      <c r="E1265" s="16" t="s">
        <v>128</v>
      </c>
      <c r="F1265" s="3"/>
      <c r="G1265" s="8"/>
      <c r="H1265" s="8"/>
      <c r="I1265" s="8"/>
    </row>
    <row r="1266" spans="1:9" x14ac:dyDescent="0.25">
      <c r="A1266" s="4" t="s">
        <v>456</v>
      </c>
      <c r="B1266" s="4" t="s">
        <v>109</v>
      </c>
      <c r="C1266" s="4" t="s">
        <v>77</v>
      </c>
      <c r="D1266" s="27" t="s">
        <v>129</v>
      </c>
      <c r="E1266" s="16" t="s">
        <v>129</v>
      </c>
      <c r="F1266" s="3"/>
      <c r="G1266" s="8"/>
      <c r="H1266" s="8"/>
      <c r="I1266" s="8"/>
    </row>
    <row r="1267" spans="1:9" x14ac:dyDescent="0.25">
      <c r="A1267" s="4" t="s">
        <v>456</v>
      </c>
      <c r="B1267" s="4" t="s">
        <v>109</v>
      </c>
      <c r="C1267" s="4" t="s">
        <v>77</v>
      </c>
      <c r="D1267" s="27" t="s">
        <v>130</v>
      </c>
      <c r="E1267" s="16" t="s">
        <v>130</v>
      </c>
      <c r="F1267" s="3"/>
      <c r="G1267" s="8"/>
      <c r="H1267" s="8"/>
      <c r="I1267" s="8"/>
    </row>
    <row r="1268" spans="1:9" ht="30" x14ac:dyDescent="0.25">
      <c r="A1268" s="4" t="s">
        <v>456</v>
      </c>
      <c r="B1268" s="4" t="s">
        <v>109</v>
      </c>
      <c r="C1268" s="4" t="s">
        <v>77</v>
      </c>
      <c r="D1268" s="22" t="s">
        <v>202</v>
      </c>
      <c r="E1268" s="22" t="s">
        <v>203</v>
      </c>
      <c r="F1268" s="3"/>
      <c r="G1268" s="8"/>
      <c r="H1268" s="8"/>
      <c r="I1268" s="8"/>
    </row>
    <row r="1269" spans="1:9" ht="60" x14ac:dyDescent="0.25">
      <c r="A1269" s="4" t="s">
        <v>456</v>
      </c>
      <c r="B1269" s="4" t="s">
        <v>109</v>
      </c>
      <c r="C1269" s="4" t="s">
        <v>77</v>
      </c>
      <c r="D1269" s="25" t="s">
        <v>131</v>
      </c>
      <c r="E1269" s="16" t="s">
        <v>686</v>
      </c>
      <c r="F1269" s="16" t="s">
        <v>205</v>
      </c>
      <c r="G1269" s="8"/>
      <c r="H1269" s="8"/>
      <c r="I1269" s="8"/>
    </row>
    <row r="1270" spans="1:9" ht="60" x14ac:dyDescent="0.25">
      <c r="A1270" s="4" t="s">
        <v>456</v>
      </c>
      <c r="B1270" s="4" t="s">
        <v>109</v>
      </c>
      <c r="C1270" s="4" t="s">
        <v>77</v>
      </c>
      <c r="D1270" s="25" t="s">
        <v>212</v>
      </c>
      <c r="E1270" s="16" t="s">
        <v>687</v>
      </c>
      <c r="F1270" s="16" t="s">
        <v>206</v>
      </c>
      <c r="G1270" s="8"/>
      <c r="H1270" s="8"/>
      <c r="I1270" s="8"/>
    </row>
    <row r="1271" spans="1:9" ht="60" x14ac:dyDescent="0.25">
      <c r="A1271" s="4" t="s">
        <v>456</v>
      </c>
      <c r="B1271" s="4" t="s">
        <v>109</v>
      </c>
      <c r="C1271" s="4" t="s">
        <v>77</v>
      </c>
      <c r="D1271" s="25" t="s">
        <v>132</v>
      </c>
      <c r="E1271" s="16" t="s">
        <v>626</v>
      </c>
      <c r="F1271" s="16" t="s">
        <v>207</v>
      </c>
      <c r="G1271" s="8"/>
      <c r="H1271" s="8"/>
      <c r="I1271" s="8"/>
    </row>
    <row r="1272" spans="1:9" ht="30" x14ac:dyDescent="0.25">
      <c r="A1272" s="4" t="s">
        <v>456</v>
      </c>
      <c r="B1272" s="4" t="s">
        <v>109</v>
      </c>
      <c r="C1272" s="4" t="s">
        <v>77</v>
      </c>
      <c r="D1272" s="25" t="s">
        <v>133</v>
      </c>
      <c r="E1272" s="16" t="s">
        <v>627</v>
      </c>
      <c r="F1272" s="16" t="s">
        <v>628</v>
      </c>
      <c r="G1272" s="8"/>
      <c r="H1272" s="8"/>
      <c r="I1272" s="8"/>
    </row>
    <row r="1273" spans="1:9" ht="60" x14ac:dyDescent="0.25">
      <c r="A1273" s="4" t="s">
        <v>456</v>
      </c>
      <c r="B1273" s="4" t="s">
        <v>109</v>
      </c>
      <c r="C1273" s="4" t="s">
        <v>77</v>
      </c>
      <c r="D1273" s="25" t="s">
        <v>632</v>
      </c>
      <c r="E1273" s="16" t="s">
        <v>629</v>
      </c>
      <c r="F1273" s="16" t="s">
        <v>630</v>
      </c>
      <c r="G1273" s="8"/>
      <c r="H1273" s="8"/>
      <c r="I1273" s="8"/>
    </row>
    <row r="1274" spans="1:9" ht="30" x14ac:dyDescent="0.25">
      <c r="A1274" s="4" t="s">
        <v>456</v>
      </c>
      <c r="B1274" s="4" t="s">
        <v>109</v>
      </c>
      <c r="C1274" s="4" t="s">
        <v>77</v>
      </c>
      <c r="D1274" s="25" t="s">
        <v>410</v>
      </c>
      <c r="E1274" s="16" t="s">
        <v>631</v>
      </c>
      <c r="F1274" s="16" t="s">
        <v>630</v>
      </c>
      <c r="G1274" s="8"/>
      <c r="H1274" s="8"/>
      <c r="I1274" s="8"/>
    </row>
    <row r="1275" spans="1:9" x14ac:dyDescent="0.25">
      <c r="A1275" s="4" t="s">
        <v>456</v>
      </c>
      <c r="B1275" s="4" t="s">
        <v>109</v>
      </c>
      <c r="C1275" s="4" t="s">
        <v>77</v>
      </c>
      <c r="D1275" s="25" t="s">
        <v>134</v>
      </c>
      <c r="E1275" s="16" t="s">
        <v>209</v>
      </c>
      <c r="F1275" s="16" t="s">
        <v>207</v>
      </c>
      <c r="G1275" s="8"/>
      <c r="H1275" s="8"/>
      <c r="I1275" s="8"/>
    </row>
    <row r="1276" spans="1:9" ht="25.5" x14ac:dyDescent="0.25">
      <c r="A1276" s="4" t="s">
        <v>456</v>
      </c>
      <c r="B1276" s="4" t="s">
        <v>109</v>
      </c>
      <c r="C1276" s="4" t="s">
        <v>77</v>
      </c>
      <c r="D1276" s="25" t="s">
        <v>135</v>
      </c>
      <c r="E1276" s="16" t="s">
        <v>136</v>
      </c>
      <c r="F1276" s="16" t="s">
        <v>137</v>
      </c>
      <c r="G1276" s="8"/>
      <c r="H1276" s="8"/>
      <c r="I1276" s="8"/>
    </row>
    <row r="1277" spans="1:9" x14ac:dyDescent="0.25">
      <c r="A1277" s="4" t="s">
        <v>456</v>
      </c>
      <c r="B1277" s="4" t="s">
        <v>109</v>
      </c>
      <c r="C1277" s="4" t="s">
        <v>77</v>
      </c>
      <c r="D1277" s="25" t="s">
        <v>138</v>
      </c>
      <c r="E1277" s="16" t="s">
        <v>138</v>
      </c>
      <c r="F1277" s="3"/>
      <c r="G1277" s="8"/>
      <c r="H1277" s="8"/>
      <c r="I1277" s="8"/>
    </row>
    <row r="1278" spans="1:9" x14ac:dyDescent="0.25">
      <c r="A1278" s="4" t="s">
        <v>456</v>
      </c>
      <c r="B1278" s="4" t="s">
        <v>109</v>
      </c>
      <c r="C1278" s="4" t="s">
        <v>77</v>
      </c>
      <c r="D1278" s="32" t="s">
        <v>139</v>
      </c>
      <c r="E1278" s="16" t="s">
        <v>139</v>
      </c>
      <c r="F1278" s="3"/>
      <c r="G1278" s="8"/>
      <c r="H1278" s="8"/>
      <c r="I1278" s="8"/>
    </row>
    <row r="1279" spans="1:9" x14ac:dyDescent="0.25">
      <c r="A1279" s="4" t="s">
        <v>456</v>
      </c>
      <c r="B1279" s="4" t="s">
        <v>109</v>
      </c>
      <c r="C1279" s="4" t="s">
        <v>77</v>
      </c>
      <c r="D1279" s="32" t="s">
        <v>140</v>
      </c>
      <c r="E1279" s="16" t="s">
        <v>140</v>
      </c>
      <c r="F1279" s="3"/>
      <c r="G1279" s="8"/>
      <c r="H1279" s="8"/>
      <c r="I1279" s="8"/>
    </row>
    <row r="1280" spans="1:9" x14ac:dyDescent="0.25">
      <c r="A1280" s="4" t="s">
        <v>456</v>
      </c>
      <c r="B1280" s="4" t="s">
        <v>109</v>
      </c>
      <c r="C1280" s="4" t="s">
        <v>77</v>
      </c>
      <c r="D1280" s="22" t="s">
        <v>141</v>
      </c>
      <c r="E1280" s="22" t="s">
        <v>203</v>
      </c>
      <c r="F1280" s="3"/>
      <c r="G1280" s="8"/>
      <c r="H1280" s="8"/>
      <c r="I1280" s="8"/>
    </row>
    <row r="1281" spans="1:9" x14ac:dyDescent="0.25">
      <c r="A1281" s="4" t="s">
        <v>456</v>
      </c>
      <c r="B1281" s="4" t="s">
        <v>109</v>
      </c>
      <c r="C1281" s="4" t="s">
        <v>77</v>
      </c>
      <c r="D1281" s="26" t="s">
        <v>142</v>
      </c>
      <c r="E1281" s="16" t="s">
        <v>142</v>
      </c>
      <c r="F1281" s="3"/>
      <c r="G1281" s="8"/>
      <c r="H1281" s="8"/>
      <c r="I1281" s="8"/>
    </row>
    <row r="1282" spans="1:9" x14ac:dyDescent="0.25">
      <c r="A1282" s="4" t="s">
        <v>456</v>
      </c>
      <c r="B1282" s="4" t="s">
        <v>109</v>
      </c>
      <c r="C1282" s="4" t="s">
        <v>77</v>
      </c>
      <c r="D1282" s="31" t="s">
        <v>143</v>
      </c>
      <c r="E1282" s="16" t="s">
        <v>337</v>
      </c>
      <c r="F1282" s="3"/>
      <c r="G1282" s="8"/>
      <c r="H1282" s="8"/>
      <c r="I1282" s="8"/>
    </row>
    <row r="1283" spans="1:9" x14ac:dyDescent="0.25">
      <c r="A1283" s="4" t="s">
        <v>456</v>
      </c>
      <c r="B1283" s="4" t="s">
        <v>109</v>
      </c>
      <c r="C1283" s="4" t="s">
        <v>77</v>
      </c>
      <c r="D1283" s="28" t="s">
        <v>144</v>
      </c>
      <c r="E1283" s="16" t="s">
        <v>144</v>
      </c>
      <c r="F1283" s="3"/>
      <c r="G1283" s="8"/>
      <c r="H1283" s="8"/>
      <c r="I1283" s="8"/>
    </row>
    <row r="1284" spans="1:9" x14ac:dyDescent="0.25">
      <c r="A1284" s="4" t="s">
        <v>456</v>
      </c>
      <c r="B1284" s="4" t="s">
        <v>109</v>
      </c>
      <c r="C1284" s="4" t="s">
        <v>77</v>
      </c>
      <c r="D1284" s="28" t="s">
        <v>145</v>
      </c>
      <c r="E1284" s="16" t="s">
        <v>145</v>
      </c>
      <c r="F1284" s="3"/>
      <c r="G1284" s="8"/>
      <c r="H1284" s="8"/>
      <c r="I1284" s="8"/>
    </row>
    <row r="1285" spans="1:9" x14ac:dyDescent="0.25">
      <c r="A1285" s="4" t="s">
        <v>456</v>
      </c>
      <c r="B1285" s="4" t="s">
        <v>109</v>
      </c>
      <c r="C1285" s="4" t="s">
        <v>77</v>
      </c>
      <c r="D1285" s="28" t="s">
        <v>146</v>
      </c>
      <c r="E1285" s="16" t="s">
        <v>203</v>
      </c>
      <c r="F1285" s="3"/>
      <c r="G1285" s="8"/>
      <c r="H1285" s="8"/>
      <c r="I1285" s="8"/>
    </row>
    <row r="1286" spans="1:9" x14ac:dyDescent="0.25">
      <c r="A1286" s="4" t="s">
        <v>456</v>
      </c>
      <c r="B1286" s="4" t="s">
        <v>109</v>
      </c>
      <c r="C1286" s="4" t="s">
        <v>77</v>
      </c>
      <c r="D1286" s="33" t="s">
        <v>147</v>
      </c>
      <c r="E1286" s="16" t="s">
        <v>147</v>
      </c>
      <c r="F1286" s="3"/>
      <c r="G1286" s="8"/>
      <c r="H1286" s="8"/>
      <c r="I1286" s="8"/>
    </row>
    <row r="1287" spans="1:9" x14ac:dyDescent="0.25">
      <c r="A1287" s="4" t="s">
        <v>456</v>
      </c>
      <c r="B1287" s="4" t="s">
        <v>109</v>
      </c>
      <c r="C1287" s="4" t="s">
        <v>95</v>
      </c>
      <c r="D1287" s="16" t="s">
        <v>620</v>
      </c>
      <c r="E1287" s="16"/>
      <c r="F1287" s="3"/>
      <c r="G1287" s="16" t="s">
        <v>10</v>
      </c>
      <c r="H1287" s="16" t="s">
        <v>10</v>
      </c>
      <c r="I1287" s="16" t="e">
        <f>VLOOKUP(A1287&amp;G1287&amp;H1287,#REF!,2,FALSE)</f>
        <v>#REF!</v>
      </c>
    </row>
    <row r="1288" spans="1:9" x14ac:dyDescent="0.25">
      <c r="A1288" s="4" t="s">
        <v>456</v>
      </c>
      <c r="B1288" s="4" t="s">
        <v>109</v>
      </c>
      <c r="C1288" s="4" t="s">
        <v>96</v>
      </c>
      <c r="D1288" s="16" t="e">
        <f t="shared" ref="D1288:D1296" si="7">I1288&amp;".txt"</f>
        <v>#REF!</v>
      </c>
      <c r="E1288" s="16" t="s">
        <v>81</v>
      </c>
      <c r="F1288" s="16" t="s">
        <v>126</v>
      </c>
      <c r="G1288" s="16" t="s">
        <v>8</v>
      </c>
      <c r="H1288" s="16" t="s">
        <v>589</v>
      </c>
      <c r="I1288" s="16" t="e">
        <f>VLOOKUP(A1288&amp;G1288&amp;H1288,#REF!,2,FALSE)</f>
        <v>#REF!</v>
      </c>
    </row>
    <row r="1289" spans="1:9" x14ac:dyDescent="0.25">
      <c r="A1289" s="4" t="s">
        <v>456</v>
      </c>
      <c r="B1289" s="4" t="s">
        <v>109</v>
      </c>
      <c r="C1289" s="4" t="s">
        <v>96</v>
      </c>
      <c r="D1289" s="16" t="e">
        <f t="shared" si="7"/>
        <v>#REF!</v>
      </c>
      <c r="E1289" s="16" t="s">
        <v>81</v>
      </c>
      <c r="F1289" s="16" t="s">
        <v>148</v>
      </c>
      <c r="G1289" s="16" t="s">
        <v>9</v>
      </c>
      <c r="H1289" s="16" t="s">
        <v>590</v>
      </c>
      <c r="I1289" s="16" t="e">
        <f>VLOOKUP(A1289&amp;G1289&amp;H1289,#REF!,2,FALSE)</f>
        <v>#REF!</v>
      </c>
    </row>
    <row r="1290" spans="1:9" x14ac:dyDescent="0.25">
      <c r="A1290" s="4" t="s">
        <v>456</v>
      </c>
      <c r="B1290" s="4" t="s">
        <v>109</v>
      </c>
      <c r="C1290" s="4" t="s">
        <v>96</v>
      </c>
      <c r="D1290" s="16" t="e">
        <f t="shared" si="7"/>
        <v>#REF!</v>
      </c>
      <c r="E1290" s="16" t="s">
        <v>81</v>
      </c>
      <c r="F1290" s="16" t="s">
        <v>213</v>
      </c>
      <c r="G1290" s="16" t="s">
        <v>9</v>
      </c>
      <c r="H1290" s="16" t="s">
        <v>590</v>
      </c>
      <c r="I1290" s="16" t="e">
        <f>VLOOKUP(A1290&amp;G1290&amp;H1290,#REF!,2,FALSE)</f>
        <v>#REF!</v>
      </c>
    </row>
    <row r="1291" spans="1:9" x14ac:dyDescent="0.25">
      <c r="A1291" s="4" t="s">
        <v>456</v>
      </c>
      <c r="B1291" s="4" t="s">
        <v>109</v>
      </c>
      <c r="C1291" s="4" t="s">
        <v>96</v>
      </c>
      <c r="D1291" s="16" t="e">
        <f t="shared" si="7"/>
        <v>#REF!</v>
      </c>
      <c r="E1291" s="16" t="s">
        <v>81</v>
      </c>
      <c r="F1291" s="16" t="s">
        <v>149</v>
      </c>
      <c r="G1291" s="16" t="s">
        <v>9</v>
      </c>
      <c r="H1291" s="16" t="s">
        <v>590</v>
      </c>
      <c r="I1291" s="16" t="e">
        <f>VLOOKUP(A1291&amp;G1291&amp;H1291,#REF!,2,FALSE)</f>
        <v>#REF!</v>
      </c>
    </row>
    <row r="1292" spans="1:9" x14ac:dyDescent="0.25">
      <c r="A1292" s="4" t="s">
        <v>456</v>
      </c>
      <c r="B1292" s="4" t="s">
        <v>109</v>
      </c>
      <c r="C1292" s="4" t="s">
        <v>96</v>
      </c>
      <c r="D1292" s="16" t="e">
        <f t="shared" si="7"/>
        <v>#REF!</v>
      </c>
      <c r="E1292" s="16" t="s">
        <v>81</v>
      </c>
      <c r="F1292" s="16" t="s">
        <v>199</v>
      </c>
      <c r="G1292" s="16" t="s">
        <v>9</v>
      </c>
      <c r="H1292" s="16" t="s">
        <v>590</v>
      </c>
      <c r="I1292" s="16" t="e">
        <f>VLOOKUP(A1292&amp;G1292&amp;H1292,#REF!,2,FALSE)</f>
        <v>#REF!</v>
      </c>
    </row>
    <row r="1293" spans="1:9" x14ac:dyDescent="0.25">
      <c r="A1293" s="4" t="s">
        <v>456</v>
      </c>
      <c r="B1293" s="4" t="s">
        <v>109</v>
      </c>
      <c r="C1293" s="4" t="s">
        <v>96</v>
      </c>
      <c r="D1293" s="16" t="e">
        <f t="shared" si="7"/>
        <v>#REF!</v>
      </c>
      <c r="E1293" s="16" t="s">
        <v>81</v>
      </c>
      <c r="F1293" s="16" t="s">
        <v>117</v>
      </c>
      <c r="G1293" s="16" t="s">
        <v>36</v>
      </c>
      <c r="H1293" s="16" t="s">
        <v>36</v>
      </c>
      <c r="I1293" s="16" t="e">
        <f>VLOOKUP(A1293&amp;G1293&amp;H1293,#REF!,2,FALSE)</f>
        <v>#REF!</v>
      </c>
    </row>
    <row r="1294" spans="1:9" x14ac:dyDescent="0.25">
      <c r="A1294" s="4" t="s">
        <v>456</v>
      </c>
      <c r="B1294" s="4" t="s">
        <v>109</v>
      </c>
      <c r="C1294" s="4" t="s">
        <v>96</v>
      </c>
      <c r="D1294" s="16" t="e">
        <f t="shared" si="7"/>
        <v>#REF!</v>
      </c>
      <c r="E1294" s="16" t="s">
        <v>81</v>
      </c>
      <c r="F1294" s="16" t="s">
        <v>137</v>
      </c>
      <c r="G1294" s="16" t="s">
        <v>30</v>
      </c>
      <c r="H1294" s="16" t="s">
        <v>591</v>
      </c>
      <c r="I1294" s="16" t="e">
        <f>VLOOKUP(A1294&amp;G1294&amp;H1294,#REF!,2,FALSE)</f>
        <v>#REF!</v>
      </c>
    </row>
    <row r="1295" spans="1:9" ht="30" x14ac:dyDescent="0.25">
      <c r="A1295" s="4" t="s">
        <v>456</v>
      </c>
      <c r="B1295" s="4" t="s">
        <v>109</v>
      </c>
      <c r="C1295" s="4" t="s">
        <v>96</v>
      </c>
      <c r="D1295" s="16" t="e">
        <f t="shared" si="7"/>
        <v>#REF!</v>
      </c>
      <c r="E1295" s="16" t="s">
        <v>81</v>
      </c>
      <c r="F1295" s="16" t="s">
        <v>200</v>
      </c>
      <c r="G1295" s="16" t="s">
        <v>34</v>
      </c>
      <c r="H1295" s="16" t="s">
        <v>60</v>
      </c>
      <c r="I1295" s="16" t="e">
        <f>VLOOKUP(A1295&amp;G1295&amp;H1295,#REF!,2,FALSE)</f>
        <v>#REF!</v>
      </c>
    </row>
    <row r="1296" spans="1:9" ht="30" x14ac:dyDescent="0.25">
      <c r="A1296" s="4" t="s">
        <v>456</v>
      </c>
      <c r="B1296" s="4" t="s">
        <v>109</v>
      </c>
      <c r="C1296" s="4" t="s">
        <v>96</v>
      </c>
      <c r="D1296" s="16" t="e">
        <f t="shared" si="7"/>
        <v>#REF!</v>
      </c>
      <c r="E1296" s="16" t="s">
        <v>81</v>
      </c>
      <c r="F1296" s="16" t="s">
        <v>766</v>
      </c>
      <c r="G1296" s="16" t="s">
        <v>2</v>
      </c>
      <c r="H1296" s="16" t="s">
        <v>59</v>
      </c>
      <c r="I1296" s="16" t="e">
        <f>VLOOKUP(A1296&amp;G1296&amp;H1296,#REF!,2,FALSE)</f>
        <v>#REF!</v>
      </c>
    </row>
    <row r="1297" spans="1:9" ht="30" x14ac:dyDescent="0.25">
      <c r="A1297" s="4" t="s">
        <v>456</v>
      </c>
      <c r="B1297" s="4" t="s">
        <v>109</v>
      </c>
      <c r="C1297" s="4" t="s">
        <v>96</v>
      </c>
      <c r="D1297" s="16" t="s">
        <v>274</v>
      </c>
      <c r="E1297" s="16" t="s">
        <v>81</v>
      </c>
      <c r="F1297" s="16" t="s">
        <v>587</v>
      </c>
      <c r="G1297" s="16" t="s">
        <v>34</v>
      </c>
      <c r="H1297" s="16" t="s">
        <v>60</v>
      </c>
      <c r="I1297" s="16" t="e">
        <f>VLOOKUP(A1297&amp;G1297&amp;H1297,#REF!,2,FALSE)</f>
        <v>#REF!</v>
      </c>
    </row>
    <row r="1298" spans="1:9" ht="30" x14ac:dyDescent="0.25">
      <c r="A1298" s="4" t="s">
        <v>456</v>
      </c>
      <c r="B1298" s="4" t="s">
        <v>109</v>
      </c>
      <c r="C1298" s="4" t="s">
        <v>96</v>
      </c>
      <c r="D1298" s="16" t="s">
        <v>615</v>
      </c>
      <c r="E1298" s="16" t="s">
        <v>81</v>
      </c>
      <c r="F1298" s="16" t="s">
        <v>616</v>
      </c>
      <c r="G1298" s="16" t="s">
        <v>2</v>
      </c>
      <c r="H1298" s="16" t="s">
        <v>59</v>
      </c>
      <c r="I1298" s="16" t="e">
        <f>VLOOKUP(A1298&amp;G1298&amp;H1298,#REF!,2,FALSE)</f>
        <v>#REF!</v>
      </c>
    </row>
    <row r="1299" spans="1:9" ht="15.75" x14ac:dyDescent="0.25">
      <c r="A1299" s="4" t="s">
        <v>456</v>
      </c>
      <c r="B1299" s="4" t="s">
        <v>36</v>
      </c>
      <c r="C1299" s="4" t="s">
        <v>77</v>
      </c>
      <c r="D1299" s="24" t="s">
        <v>150</v>
      </c>
      <c r="E1299" s="16" t="s">
        <v>81</v>
      </c>
      <c r="F1299" s="3"/>
      <c r="G1299" s="8"/>
      <c r="H1299" s="8"/>
      <c r="I1299" s="8"/>
    </row>
    <row r="1300" spans="1:9" ht="15.75" x14ac:dyDescent="0.25">
      <c r="A1300" s="4" t="s">
        <v>456</v>
      </c>
      <c r="B1300" s="4" t="s">
        <v>36</v>
      </c>
      <c r="C1300" s="4" t="s">
        <v>77</v>
      </c>
      <c r="D1300" s="24" t="s">
        <v>81</v>
      </c>
      <c r="E1300" s="16" t="s">
        <v>116</v>
      </c>
      <c r="F1300" s="3"/>
      <c r="G1300" s="8"/>
      <c r="H1300" s="8"/>
      <c r="I1300" s="8"/>
    </row>
    <row r="1301" spans="1:9" ht="15.75" x14ac:dyDescent="0.25">
      <c r="A1301" s="4" t="s">
        <v>456</v>
      </c>
      <c r="B1301" s="4" t="s">
        <v>36</v>
      </c>
      <c r="C1301" s="4" t="s">
        <v>77</v>
      </c>
      <c r="D1301" s="24" t="s">
        <v>151</v>
      </c>
      <c r="E1301" s="16" t="s">
        <v>152</v>
      </c>
      <c r="F1301" s="16" t="s">
        <v>153</v>
      </c>
      <c r="G1301" s="8"/>
      <c r="H1301" s="8"/>
      <c r="I1301" s="8"/>
    </row>
    <row r="1302" spans="1:9" ht="15.75" x14ac:dyDescent="0.25">
      <c r="A1302" s="4" t="s">
        <v>456</v>
      </c>
      <c r="B1302" s="4" t="s">
        <v>36</v>
      </c>
      <c r="C1302" s="4" t="s">
        <v>77</v>
      </c>
      <c r="D1302" s="24" t="s">
        <v>154</v>
      </c>
      <c r="E1302" s="16" t="s">
        <v>155</v>
      </c>
      <c r="F1302" s="3"/>
      <c r="G1302" s="8"/>
      <c r="H1302" s="8"/>
      <c r="I1302" s="8"/>
    </row>
    <row r="1303" spans="1:9" ht="15.75" x14ac:dyDescent="0.25">
      <c r="A1303" s="4" t="s">
        <v>456</v>
      </c>
      <c r="B1303" s="4" t="s">
        <v>36</v>
      </c>
      <c r="C1303" s="4" t="s">
        <v>77</v>
      </c>
      <c r="D1303" s="24" t="s">
        <v>156</v>
      </c>
      <c r="E1303" s="16" t="s">
        <v>87</v>
      </c>
      <c r="F1303" s="3"/>
      <c r="G1303" s="8"/>
      <c r="H1303" s="8"/>
      <c r="I1303" s="8"/>
    </row>
    <row r="1304" spans="1:9" ht="15.75" x14ac:dyDescent="0.25">
      <c r="A1304" s="4" t="s">
        <v>456</v>
      </c>
      <c r="B1304" s="4" t="s">
        <v>36</v>
      </c>
      <c r="C1304" s="4" t="s">
        <v>77</v>
      </c>
      <c r="D1304" s="24" t="s">
        <v>157</v>
      </c>
      <c r="E1304" s="16" t="s">
        <v>158</v>
      </c>
      <c r="F1304" s="3"/>
      <c r="G1304" s="8"/>
      <c r="H1304" s="8"/>
      <c r="I1304" s="8"/>
    </row>
    <row r="1305" spans="1:9" ht="15.75" x14ac:dyDescent="0.25">
      <c r="A1305" s="4" t="s">
        <v>456</v>
      </c>
      <c r="B1305" s="4" t="s">
        <v>36</v>
      </c>
      <c r="C1305" s="4" t="s">
        <v>77</v>
      </c>
      <c r="D1305" s="24" t="s">
        <v>159</v>
      </c>
      <c r="E1305" s="16" t="s">
        <v>159</v>
      </c>
      <c r="F1305" s="3"/>
      <c r="G1305" s="8"/>
      <c r="H1305" s="8"/>
      <c r="I1305" s="8"/>
    </row>
    <row r="1306" spans="1:9" ht="15.75" x14ac:dyDescent="0.25">
      <c r="A1306" s="4" t="s">
        <v>456</v>
      </c>
      <c r="B1306" s="4" t="s">
        <v>36</v>
      </c>
      <c r="C1306" s="4" t="s">
        <v>77</v>
      </c>
      <c r="D1306" s="24" t="s">
        <v>160</v>
      </c>
      <c r="E1306" s="16" t="s">
        <v>160</v>
      </c>
      <c r="F1306" s="3"/>
      <c r="G1306" s="8"/>
      <c r="H1306" s="8"/>
      <c r="I1306" s="8"/>
    </row>
    <row r="1307" spans="1:9" ht="15.75" x14ac:dyDescent="0.25">
      <c r="A1307" s="4" t="s">
        <v>456</v>
      </c>
      <c r="B1307" s="4" t="s">
        <v>36</v>
      </c>
      <c r="C1307" s="4" t="s">
        <v>77</v>
      </c>
      <c r="D1307" s="24" t="s">
        <v>161</v>
      </c>
      <c r="E1307" s="16" t="s">
        <v>161</v>
      </c>
      <c r="F1307" s="3"/>
      <c r="G1307" s="8"/>
      <c r="H1307" s="8"/>
      <c r="I1307" s="8"/>
    </row>
    <row r="1308" spans="1:9" ht="15.75" x14ac:dyDescent="0.25">
      <c r="A1308" s="4" t="s">
        <v>456</v>
      </c>
      <c r="B1308" s="4" t="s">
        <v>36</v>
      </c>
      <c r="C1308" s="4" t="s">
        <v>77</v>
      </c>
      <c r="D1308" s="24" t="s">
        <v>162</v>
      </c>
      <c r="E1308" s="16" t="s">
        <v>162</v>
      </c>
      <c r="F1308" s="3"/>
      <c r="G1308" s="8"/>
      <c r="H1308" s="8"/>
      <c r="I1308" s="8"/>
    </row>
    <row r="1309" spans="1:9" ht="15.75" x14ac:dyDescent="0.25">
      <c r="A1309" s="4" t="s">
        <v>456</v>
      </c>
      <c r="B1309" s="4" t="s">
        <v>36</v>
      </c>
      <c r="C1309" s="4" t="s">
        <v>77</v>
      </c>
      <c r="D1309" s="24" t="s">
        <v>163</v>
      </c>
      <c r="E1309" s="16" t="s">
        <v>163</v>
      </c>
      <c r="F1309" s="3"/>
      <c r="G1309" s="8"/>
      <c r="H1309" s="8"/>
      <c r="I1309" s="8"/>
    </row>
    <row r="1310" spans="1:9" ht="15.75" x14ac:dyDescent="0.25">
      <c r="A1310" s="4" t="s">
        <v>456</v>
      </c>
      <c r="B1310" s="4" t="s">
        <v>36</v>
      </c>
      <c r="C1310" s="4" t="s">
        <v>77</v>
      </c>
      <c r="D1310" s="24" t="s">
        <v>164</v>
      </c>
      <c r="E1310" s="16" t="s">
        <v>164</v>
      </c>
      <c r="F1310" s="3"/>
      <c r="G1310" s="8"/>
      <c r="H1310" s="8"/>
      <c r="I1310" s="8"/>
    </row>
    <row r="1311" spans="1:9" ht="15.75" x14ac:dyDescent="0.25">
      <c r="A1311" s="4" t="s">
        <v>456</v>
      </c>
      <c r="B1311" s="4" t="s">
        <v>36</v>
      </c>
      <c r="C1311" s="4" t="s">
        <v>77</v>
      </c>
      <c r="D1311" s="24" t="s">
        <v>165</v>
      </c>
      <c r="E1311" s="16" t="s">
        <v>165</v>
      </c>
      <c r="F1311" s="3"/>
      <c r="G1311" s="8"/>
      <c r="H1311" s="8"/>
      <c r="I1311" s="8"/>
    </row>
    <row r="1312" spans="1:9" ht="15.75" x14ac:dyDescent="0.25">
      <c r="A1312" s="4" t="s">
        <v>456</v>
      </c>
      <c r="B1312" s="4" t="s">
        <v>36</v>
      </c>
      <c r="C1312" s="4" t="s">
        <v>77</v>
      </c>
      <c r="D1312" s="24" t="s">
        <v>166</v>
      </c>
      <c r="E1312" s="16" t="s">
        <v>166</v>
      </c>
      <c r="F1312" s="3"/>
      <c r="G1312" s="8"/>
      <c r="H1312" s="8"/>
      <c r="I1312" s="8"/>
    </row>
    <row r="1313" spans="1:9" ht="15.75" x14ac:dyDescent="0.25">
      <c r="A1313" s="4" t="s">
        <v>456</v>
      </c>
      <c r="B1313" s="4" t="s">
        <v>36</v>
      </c>
      <c r="C1313" s="4" t="s">
        <v>77</v>
      </c>
      <c r="D1313" s="24" t="s">
        <v>167</v>
      </c>
      <c r="E1313" s="16" t="s">
        <v>128</v>
      </c>
      <c r="F1313" s="16" t="s">
        <v>153</v>
      </c>
      <c r="G1313" s="8"/>
      <c r="H1313" s="8"/>
      <c r="I1313" s="8"/>
    </row>
    <row r="1314" spans="1:9" ht="15.75" x14ac:dyDescent="0.25">
      <c r="A1314" s="4" t="s">
        <v>456</v>
      </c>
      <c r="B1314" s="4" t="s">
        <v>36</v>
      </c>
      <c r="C1314" s="4" t="s">
        <v>77</v>
      </c>
      <c r="D1314" s="24" t="s">
        <v>168</v>
      </c>
      <c r="E1314" s="16" t="s">
        <v>125</v>
      </c>
      <c r="F1314" s="16" t="s">
        <v>169</v>
      </c>
      <c r="G1314" s="8"/>
      <c r="H1314" s="8"/>
      <c r="I1314" s="8"/>
    </row>
    <row r="1315" spans="1:9" ht="30" x14ac:dyDescent="0.25">
      <c r="A1315" s="4" t="s">
        <v>456</v>
      </c>
      <c r="B1315" s="4" t="s">
        <v>36</v>
      </c>
      <c r="C1315" s="4" t="s">
        <v>77</v>
      </c>
      <c r="D1315" s="24" t="s">
        <v>170</v>
      </c>
      <c r="E1315" s="16" t="s">
        <v>210</v>
      </c>
      <c r="F1315" s="16" t="s">
        <v>211</v>
      </c>
      <c r="G1315" s="8"/>
      <c r="H1315" s="8"/>
      <c r="I1315" s="8"/>
    </row>
    <row r="1316" spans="1:9" ht="15.75" x14ac:dyDescent="0.25">
      <c r="A1316" s="4" t="s">
        <v>456</v>
      </c>
      <c r="B1316" s="4" t="s">
        <v>36</v>
      </c>
      <c r="C1316" s="4" t="s">
        <v>77</v>
      </c>
      <c r="D1316" s="24" t="s">
        <v>171</v>
      </c>
      <c r="E1316" s="16" t="s">
        <v>171</v>
      </c>
      <c r="F1316" s="3"/>
      <c r="G1316" s="8"/>
      <c r="H1316" s="8"/>
      <c r="I1316" s="8"/>
    </row>
    <row r="1317" spans="1:9" ht="15.75" x14ac:dyDescent="0.25">
      <c r="A1317" s="4" t="s">
        <v>456</v>
      </c>
      <c r="B1317" s="4" t="s">
        <v>36</v>
      </c>
      <c r="C1317" s="4" t="s">
        <v>77</v>
      </c>
      <c r="D1317" s="24" t="s">
        <v>172</v>
      </c>
      <c r="E1317" s="16" t="s">
        <v>173</v>
      </c>
      <c r="F1317" s="3"/>
      <c r="G1317" s="8"/>
      <c r="H1317" s="8"/>
      <c r="I1317" s="8"/>
    </row>
    <row r="1318" spans="1:9" ht="30" x14ac:dyDescent="0.25">
      <c r="A1318" s="4" t="s">
        <v>456</v>
      </c>
      <c r="B1318" s="4" t="s">
        <v>36</v>
      </c>
      <c r="C1318" s="4" t="s">
        <v>77</v>
      </c>
      <c r="D1318" s="24" t="s">
        <v>174</v>
      </c>
      <c r="E1318" s="16" t="s">
        <v>175</v>
      </c>
      <c r="F1318" s="16" t="s">
        <v>176</v>
      </c>
      <c r="G1318" s="8"/>
      <c r="H1318" s="8"/>
      <c r="I1318" s="8"/>
    </row>
    <row r="1319" spans="1:9" ht="15.75" x14ac:dyDescent="0.25">
      <c r="A1319" s="4" t="s">
        <v>456</v>
      </c>
      <c r="B1319" s="4" t="s">
        <v>36</v>
      </c>
      <c r="C1319" s="4" t="s">
        <v>77</v>
      </c>
      <c r="D1319" s="24" t="s">
        <v>177</v>
      </c>
      <c r="E1319" s="16" t="s">
        <v>177</v>
      </c>
      <c r="F1319" s="3"/>
      <c r="G1319" s="8"/>
      <c r="H1319" s="8"/>
      <c r="I1319" s="8"/>
    </row>
    <row r="1320" spans="1:9" ht="15.75" x14ac:dyDescent="0.25">
      <c r="A1320" s="4" t="s">
        <v>456</v>
      </c>
      <c r="B1320" s="4" t="s">
        <v>36</v>
      </c>
      <c r="C1320" s="4" t="s">
        <v>77</v>
      </c>
      <c r="D1320" s="24" t="s">
        <v>178</v>
      </c>
      <c r="E1320" s="16" t="s">
        <v>178</v>
      </c>
      <c r="F1320" s="3"/>
      <c r="G1320" s="8"/>
      <c r="H1320" s="8"/>
      <c r="I1320" s="8"/>
    </row>
    <row r="1321" spans="1:9" ht="15.75" x14ac:dyDescent="0.25">
      <c r="A1321" s="4" t="s">
        <v>456</v>
      </c>
      <c r="B1321" s="4" t="s">
        <v>36</v>
      </c>
      <c r="C1321" s="4" t="s">
        <v>77</v>
      </c>
      <c r="D1321" s="24" t="s">
        <v>179</v>
      </c>
      <c r="E1321" s="16" t="s">
        <v>179</v>
      </c>
      <c r="F1321" s="3"/>
      <c r="G1321" s="8"/>
      <c r="H1321" s="8"/>
      <c r="I1321" s="8"/>
    </row>
    <row r="1322" spans="1:9" ht="15.75" x14ac:dyDescent="0.25">
      <c r="A1322" s="4" t="s">
        <v>456</v>
      </c>
      <c r="B1322" s="4" t="s">
        <v>36</v>
      </c>
      <c r="C1322" s="4" t="s">
        <v>77</v>
      </c>
      <c r="D1322" s="24" t="s">
        <v>180</v>
      </c>
      <c r="E1322" s="16" t="s">
        <v>180</v>
      </c>
      <c r="F1322" s="3"/>
      <c r="G1322" s="8"/>
      <c r="H1322" s="8"/>
      <c r="I1322" s="8"/>
    </row>
    <row r="1323" spans="1:9" x14ac:dyDescent="0.25">
      <c r="A1323" s="4" t="s">
        <v>456</v>
      </c>
      <c r="B1323" s="4" t="s">
        <v>36</v>
      </c>
      <c r="C1323" s="4" t="s">
        <v>95</v>
      </c>
      <c r="D1323" s="16" t="s">
        <v>622</v>
      </c>
      <c r="E1323" s="16"/>
      <c r="F1323" s="3"/>
      <c r="G1323" s="16" t="s">
        <v>36</v>
      </c>
      <c r="H1323" s="16" t="s">
        <v>36</v>
      </c>
      <c r="I1323" s="16" t="e">
        <f>VLOOKUP(A1323&amp;G1323&amp;H1323,#REF!,2,FALSE)</f>
        <v>#REF!</v>
      </c>
    </row>
    <row r="1324" spans="1:9" x14ac:dyDescent="0.25">
      <c r="A1324" s="4" t="s">
        <v>456</v>
      </c>
      <c r="B1324" s="4" t="s">
        <v>36</v>
      </c>
      <c r="C1324" s="4" t="s">
        <v>96</v>
      </c>
      <c r="D1324" s="16" t="s">
        <v>621</v>
      </c>
      <c r="E1324" s="16" t="s">
        <v>81</v>
      </c>
      <c r="F1324" s="16" t="s">
        <v>169</v>
      </c>
      <c r="G1324" s="16" t="s">
        <v>9</v>
      </c>
      <c r="H1324" s="16" t="s">
        <v>590</v>
      </c>
      <c r="I1324" s="16" t="e">
        <f>VLOOKUP(A1324&amp;G1324&amp;H1324,#REF!,2,FALSE)</f>
        <v>#REF!</v>
      </c>
    </row>
    <row r="1325" spans="1:9" x14ac:dyDescent="0.25">
      <c r="A1325" s="4" t="s">
        <v>456</v>
      </c>
      <c r="B1325" s="4" t="s">
        <v>36</v>
      </c>
      <c r="C1325" s="4" t="s">
        <v>96</v>
      </c>
      <c r="D1325" s="16" t="s">
        <v>620</v>
      </c>
      <c r="E1325" s="16" t="s">
        <v>81</v>
      </c>
      <c r="F1325" s="16" t="s">
        <v>153</v>
      </c>
      <c r="G1325" s="16" t="s">
        <v>10</v>
      </c>
      <c r="H1325" s="16" t="s">
        <v>10</v>
      </c>
      <c r="I1325" s="16" t="e">
        <f>VLOOKUP(A1325&amp;G1325&amp;H1325,#REF!,2,FALSE)</f>
        <v>#REF!</v>
      </c>
    </row>
    <row r="1326" spans="1:9" ht="30" x14ac:dyDescent="0.25">
      <c r="A1326" s="4" t="s">
        <v>456</v>
      </c>
      <c r="B1326" s="4" t="s">
        <v>36</v>
      </c>
      <c r="C1326" s="4" t="s">
        <v>96</v>
      </c>
      <c r="D1326" s="16" t="s">
        <v>274</v>
      </c>
      <c r="E1326" s="16" t="s">
        <v>81</v>
      </c>
      <c r="F1326" s="16" t="s">
        <v>104</v>
      </c>
      <c r="G1326" s="16" t="s">
        <v>2</v>
      </c>
      <c r="H1326" s="16" t="s">
        <v>59</v>
      </c>
      <c r="I1326" s="16" t="e">
        <f>VLOOKUP(A1326&amp;G1326&amp;H1326,#REF!,2,FALSE)</f>
        <v>#REF!</v>
      </c>
    </row>
    <row r="1327" spans="1:9" x14ac:dyDescent="0.25">
      <c r="A1327" s="4" t="s">
        <v>456</v>
      </c>
      <c r="B1327" s="4" t="s">
        <v>36</v>
      </c>
      <c r="C1327" s="4" t="s">
        <v>96</v>
      </c>
      <c r="D1327" s="16" t="s">
        <v>623</v>
      </c>
      <c r="E1327" s="16" t="s">
        <v>81</v>
      </c>
      <c r="F1327" s="16" t="s">
        <v>176</v>
      </c>
      <c r="G1327" s="16" t="s">
        <v>30</v>
      </c>
      <c r="H1327" s="16" t="s">
        <v>591</v>
      </c>
      <c r="I1327" s="16" t="e">
        <f>VLOOKUP(A1327&amp;G1327&amp;H1327,#REF!,2,FALSE)</f>
        <v>#REF!</v>
      </c>
    </row>
    <row r="1328" spans="1:9" x14ac:dyDescent="0.25">
      <c r="A1328" s="4" t="s">
        <v>456</v>
      </c>
      <c r="B1328" s="4" t="s">
        <v>29</v>
      </c>
      <c r="C1328" s="4" t="s">
        <v>77</v>
      </c>
      <c r="D1328" s="16" t="s">
        <v>82</v>
      </c>
      <c r="E1328" s="16" t="s">
        <v>79</v>
      </c>
      <c r="F1328" s="3"/>
      <c r="G1328" s="8"/>
      <c r="H1328" s="8"/>
      <c r="I1328" s="8"/>
    </row>
    <row r="1329" spans="1:9" x14ac:dyDescent="0.25">
      <c r="A1329" s="4" t="s">
        <v>456</v>
      </c>
      <c r="B1329" s="4" t="s">
        <v>29</v>
      </c>
      <c r="C1329" s="4" t="s">
        <v>77</v>
      </c>
      <c r="D1329" s="16" t="s">
        <v>84</v>
      </c>
      <c r="E1329" s="16" t="s">
        <v>81</v>
      </c>
      <c r="F1329" s="3"/>
      <c r="G1329" s="8"/>
      <c r="H1329" s="8"/>
      <c r="I1329" s="8"/>
    </row>
    <row r="1330" spans="1:9" x14ac:dyDescent="0.25">
      <c r="A1330" s="4" t="s">
        <v>456</v>
      </c>
      <c r="B1330" s="4" t="s">
        <v>29</v>
      </c>
      <c r="C1330" s="4" t="s">
        <v>77</v>
      </c>
      <c r="D1330" s="16" t="s">
        <v>551</v>
      </c>
      <c r="E1330" s="16" t="s">
        <v>551</v>
      </c>
      <c r="F1330" s="3"/>
      <c r="G1330" s="8"/>
      <c r="H1330" s="8"/>
      <c r="I1330" s="8"/>
    </row>
    <row r="1331" spans="1:9" x14ac:dyDescent="0.25">
      <c r="A1331" s="4" t="s">
        <v>456</v>
      </c>
      <c r="B1331" s="4" t="s">
        <v>29</v>
      </c>
      <c r="C1331" s="4" t="s">
        <v>77</v>
      </c>
      <c r="D1331" s="16" t="s">
        <v>610</v>
      </c>
      <c r="E1331" s="16" t="s">
        <v>610</v>
      </c>
      <c r="F1331" s="3"/>
      <c r="G1331" s="8"/>
      <c r="H1331" s="8"/>
      <c r="I1331" s="8"/>
    </row>
    <row r="1332" spans="1:9" x14ac:dyDescent="0.25">
      <c r="A1332" s="4" t="s">
        <v>456</v>
      </c>
      <c r="B1332" s="4" t="s">
        <v>29</v>
      </c>
      <c r="C1332" s="4" t="s">
        <v>77</v>
      </c>
      <c r="D1332" s="16" t="s">
        <v>85</v>
      </c>
      <c r="E1332" s="16" t="s">
        <v>85</v>
      </c>
      <c r="F1332" s="3"/>
      <c r="G1332" s="8"/>
      <c r="H1332" s="8"/>
      <c r="I1332" s="8"/>
    </row>
    <row r="1333" spans="1:9" x14ac:dyDescent="0.25">
      <c r="A1333" s="4" t="s">
        <v>456</v>
      </c>
      <c r="B1333" s="4" t="s">
        <v>29</v>
      </c>
      <c r="C1333" s="4" t="s">
        <v>77</v>
      </c>
      <c r="D1333" s="16" t="s">
        <v>611</v>
      </c>
      <c r="E1333" s="16" t="s">
        <v>611</v>
      </c>
      <c r="F1333" s="3"/>
      <c r="G1333" s="8"/>
      <c r="H1333" s="8"/>
      <c r="I1333" s="8"/>
    </row>
    <row r="1334" spans="1:9" x14ac:dyDescent="0.25">
      <c r="A1334" s="4" t="s">
        <v>456</v>
      </c>
      <c r="B1334" s="4" t="s">
        <v>29</v>
      </c>
      <c r="C1334" s="4" t="s">
        <v>77</v>
      </c>
      <c r="D1334" s="16" t="s">
        <v>86</v>
      </c>
      <c r="E1334" s="16" t="s">
        <v>87</v>
      </c>
      <c r="F1334" s="3"/>
      <c r="G1334" s="8"/>
      <c r="H1334" s="8"/>
      <c r="I1334" s="8"/>
    </row>
    <row r="1335" spans="1:9" x14ac:dyDescent="0.25">
      <c r="A1335" s="4" t="s">
        <v>456</v>
      </c>
      <c r="B1335" s="4" t="s">
        <v>29</v>
      </c>
      <c r="C1335" s="4" t="s">
        <v>77</v>
      </c>
      <c r="D1335" s="16" t="s">
        <v>88</v>
      </c>
      <c r="E1335" s="16" t="s">
        <v>88</v>
      </c>
      <c r="F1335" s="3"/>
      <c r="G1335" s="8"/>
      <c r="H1335" s="8"/>
      <c r="I1335" s="8"/>
    </row>
    <row r="1336" spans="1:9" x14ac:dyDescent="0.25">
      <c r="A1336" s="4" t="s">
        <v>456</v>
      </c>
      <c r="B1336" s="4" t="s">
        <v>29</v>
      </c>
      <c r="C1336" s="4" t="s">
        <v>77</v>
      </c>
      <c r="D1336" s="16" t="s">
        <v>661</v>
      </c>
      <c r="E1336" s="16" t="s">
        <v>661</v>
      </c>
      <c r="F1336" s="3"/>
      <c r="G1336" s="8"/>
      <c r="H1336" s="8"/>
      <c r="I1336" s="8"/>
    </row>
    <row r="1337" spans="1:9" x14ac:dyDescent="0.25">
      <c r="A1337" s="4" t="s">
        <v>456</v>
      </c>
      <c r="B1337" s="4" t="s">
        <v>29</v>
      </c>
      <c r="C1337" s="4" t="s">
        <v>77</v>
      </c>
      <c r="D1337" s="16" t="s">
        <v>559</v>
      </c>
      <c r="E1337" s="16" t="s">
        <v>559</v>
      </c>
      <c r="F1337" s="3"/>
      <c r="G1337" s="8"/>
      <c r="H1337" s="8"/>
      <c r="I1337" s="8"/>
    </row>
    <row r="1338" spans="1:9" x14ac:dyDescent="0.25">
      <c r="A1338" s="4" t="s">
        <v>456</v>
      </c>
      <c r="B1338" s="4" t="s">
        <v>29</v>
      </c>
      <c r="C1338" s="4" t="s">
        <v>77</v>
      </c>
      <c r="D1338" s="16" t="s">
        <v>101</v>
      </c>
      <c r="E1338" s="16" t="s">
        <v>101</v>
      </c>
      <c r="F1338" s="3"/>
      <c r="G1338" s="8"/>
      <c r="H1338" s="8"/>
      <c r="I1338" s="8"/>
    </row>
    <row r="1339" spans="1:9" x14ac:dyDescent="0.25">
      <c r="A1339" s="4" t="s">
        <v>456</v>
      </c>
      <c r="B1339" s="4" t="s">
        <v>29</v>
      </c>
      <c r="C1339" s="4" t="s">
        <v>77</v>
      </c>
      <c r="D1339" s="16" t="s">
        <v>553</v>
      </c>
      <c r="E1339" s="16" t="s">
        <v>553</v>
      </c>
      <c r="F1339" s="3"/>
      <c r="G1339" s="8"/>
      <c r="H1339" s="8"/>
      <c r="I1339" s="8"/>
    </row>
    <row r="1340" spans="1:9" x14ac:dyDescent="0.25">
      <c r="A1340" s="4" t="s">
        <v>456</v>
      </c>
      <c r="B1340" s="4" t="s">
        <v>29</v>
      </c>
      <c r="C1340" s="4" t="s">
        <v>77</v>
      </c>
      <c r="D1340" s="16" t="s">
        <v>572</v>
      </c>
      <c r="E1340" s="16" t="s">
        <v>572</v>
      </c>
      <c r="F1340" s="3"/>
      <c r="G1340" s="8"/>
      <c r="H1340" s="8"/>
      <c r="I1340" s="8"/>
    </row>
    <row r="1341" spans="1:9" x14ac:dyDescent="0.25">
      <c r="A1341" s="4" t="s">
        <v>456</v>
      </c>
      <c r="B1341" s="4" t="s">
        <v>29</v>
      </c>
      <c r="C1341" s="4" t="s">
        <v>77</v>
      </c>
      <c r="D1341" s="16" t="s">
        <v>558</v>
      </c>
      <c r="E1341" s="16" t="s">
        <v>558</v>
      </c>
      <c r="F1341" s="3"/>
      <c r="G1341" s="8"/>
      <c r="H1341" s="8"/>
      <c r="I1341" s="8"/>
    </row>
    <row r="1342" spans="1:9" x14ac:dyDescent="0.25">
      <c r="A1342" s="4" t="s">
        <v>456</v>
      </c>
      <c r="B1342" s="4" t="s">
        <v>29</v>
      </c>
      <c r="C1342" s="4" t="s">
        <v>77</v>
      </c>
      <c r="D1342" s="16" t="s">
        <v>612</v>
      </c>
      <c r="E1342" s="16" t="s">
        <v>612</v>
      </c>
      <c r="F1342" s="3"/>
      <c r="G1342" s="8"/>
      <c r="H1342" s="8"/>
      <c r="I1342" s="8"/>
    </row>
    <row r="1343" spans="1:9" x14ac:dyDescent="0.25">
      <c r="A1343" s="4" t="s">
        <v>456</v>
      </c>
      <c r="B1343" s="4" t="s">
        <v>29</v>
      </c>
      <c r="C1343" s="4" t="s">
        <v>77</v>
      </c>
      <c r="D1343" s="16" t="s">
        <v>573</v>
      </c>
      <c r="E1343" s="16" t="s">
        <v>573</v>
      </c>
      <c r="F1343" s="3"/>
      <c r="G1343" s="8"/>
      <c r="H1343" s="8"/>
      <c r="I1343" s="8"/>
    </row>
    <row r="1344" spans="1:9" x14ac:dyDescent="0.25">
      <c r="A1344" s="4" t="s">
        <v>456</v>
      </c>
      <c r="B1344" s="4" t="s">
        <v>29</v>
      </c>
      <c r="C1344" s="4" t="s">
        <v>77</v>
      </c>
      <c r="D1344" s="16" t="s">
        <v>99</v>
      </c>
      <c r="E1344" s="16" t="s">
        <v>99</v>
      </c>
      <c r="F1344" s="3"/>
      <c r="G1344" s="8"/>
      <c r="H1344" s="8"/>
      <c r="I1344" s="8"/>
    </row>
    <row r="1345" spans="1:9" ht="30" x14ac:dyDescent="0.25">
      <c r="A1345" s="4" t="s">
        <v>456</v>
      </c>
      <c r="B1345" s="4" t="s">
        <v>29</v>
      </c>
      <c r="C1345" s="4" t="s">
        <v>77</v>
      </c>
      <c r="D1345" s="16" t="s">
        <v>662</v>
      </c>
      <c r="E1345" s="16" t="s">
        <v>663</v>
      </c>
      <c r="F1345" s="16" t="s">
        <v>200</v>
      </c>
      <c r="G1345" s="8"/>
      <c r="H1345" s="8"/>
      <c r="I1345" s="8"/>
    </row>
    <row r="1346" spans="1:9" ht="30" x14ac:dyDescent="0.25">
      <c r="A1346" s="4" t="s">
        <v>456</v>
      </c>
      <c r="B1346" s="4" t="s">
        <v>29</v>
      </c>
      <c r="C1346" s="4" t="s">
        <v>77</v>
      </c>
      <c r="D1346" s="16" t="s">
        <v>664</v>
      </c>
      <c r="E1346" s="16" t="s">
        <v>665</v>
      </c>
      <c r="F1346" s="16" t="s">
        <v>200</v>
      </c>
      <c r="G1346" s="8"/>
      <c r="H1346" s="8"/>
      <c r="I1346" s="8"/>
    </row>
    <row r="1347" spans="1:9" ht="30" x14ac:dyDescent="0.25">
      <c r="A1347" s="4" t="s">
        <v>456</v>
      </c>
      <c r="B1347" s="4" t="s">
        <v>29</v>
      </c>
      <c r="C1347" s="4" t="s">
        <v>77</v>
      </c>
      <c r="D1347" s="16" t="s">
        <v>666</v>
      </c>
      <c r="E1347" s="16" t="s">
        <v>667</v>
      </c>
      <c r="F1347" s="16" t="s">
        <v>200</v>
      </c>
      <c r="G1347" s="8"/>
      <c r="H1347" s="8"/>
      <c r="I1347" s="8"/>
    </row>
    <row r="1348" spans="1:9" ht="30" x14ac:dyDescent="0.25">
      <c r="A1348" s="4" t="s">
        <v>456</v>
      </c>
      <c r="B1348" s="4" t="s">
        <v>29</v>
      </c>
      <c r="C1348" s="4" t="s">
        <v>77</v>
      </c>
      <c r="D1348" s="16" t="s">
        <v>555</v>
      </c>
      <c r="E1348" s="16" t="s">
        <v>668</v>
      </c>
      <c r="F1348" s="16" t="s">
        <v>200</v>
      </c>
      <c r="G1348" s="8"/>
      <c r="H1348" s="8"/>
      <c r="I1348" s="8"/>
    </row>
    <row r="1349" spans="1:9" x14ac:dyDescent="0.25">
      <c r="A1349" s="4" t="s">
        <v>456</v>
      </c>
      <c r="B1349" s="4" t="s">
        <v>29</v>
      </c>
      <c r="C1349" s="4" t="s">
        <v>77</v>
      </c>
      <c r="D1349" s="16" t="s">
        <v>564</v>
      </c>
      <c r="E1349" s="16" t="s">
        <v>669</v>
      </c>
      <c r="F1349" s="16" t="s">
        <v>200</v>
      </c>
      <c r="G1349" s="8"/>
      <c r="H1349" s="8"/>
      <c r="I1349" s="8"/>
    </row>
    <row r="1350" spans="1:9" ht="30" x14ac:dyDescent="0.25">
      <c r="A1350" s="4" t="s">
        <v>456</v>
      </c>
      <c r="B1350" s="4" t="s">
        <v>29</v>
      </c>
      <c r="C1350" s="4" t="s">
        <v>77</v>
      </c>
      <c r="D1350" s="16" t="s">
        <v>573</v>
      </c>
      <c r="E1350" s="16" t="s">
        <v>670</v>
      </c>
      <c r="F1350" s="16" t="s">
        <v>200</v>
      </c>
      <c r="G1350" s="8"/>
      <c r="H1350" s="8"/>
      <c r="I1350" s="8"/>
    </row>
    <row r="1351" spans="1:9" ht="30" x14ac:dyDescent="0.25">
      <c r="A1351" s="4" t="s">
        <v>456</v>
      </c>
      <c r="B1351" s="4" t="s">
        <v>29</v>
      </c>
      <c r="C1351" s="4" t="s">
        <v>95</v>
      </c>
      <c r="D1351" s="16" t="s">
        <v>274</v>
      </c>
      <c r="E1351" s="16" t="s">
        <v>81</v>
      </c>
      <c r="F1351" s="3"/>
      <c r="G1351" s="16" t="s">
        <v>2</v>
      </c>
      <c r="H1351" s="16" t="s">
        <v>59</v>
      </c>
      <c r="I1351" s="16" t="e">
        <f>VLOOKUP(A1351&amp;G1351&amp;H1351,#REF!,2,FALSE)</f>
        <v>#REF!</v>
      </c>
    </row>
    <row r="1352" spans="1:9" ht="30" x14ac:dyDescent="0.25">
      <c r="A1352" s="4" t="s">
        <v>456</v>
      </c>
      <c r="B1352" s="4" t="s">
        <v>29</v>
      </c>
      <c r="C1352" s="4" t="s">
        <v>96</v>
      </c>
      <c r="D1352" s="16" t="s">
        <v>614</v>
      </c>
      <c r="E1352" s="16" t="s">
        <v>81</v>
      </c>
      <c r="F1352" s="16" t="s">
        <v>200</v>
      </c>
      <c r="G1352" s="16" t="s">
        <v>34</v>
      </c>
      <c r="H1352" s="16" t="s">
        <v>60</v>
      </c>
      <c r="I1352" s="16" t="e">
        <f>VLOOKUP(A1352&amp;G1352&amp;H1352,#REF!,2,FALSE)</f>
        <v>#REF!</v>
      </c>
    </row>
    <row r="1353" spans="1:9" x14ac:dyDescent="0.25">
      <c r="A1353" s="4" t="s">
        <v>456</v>
      </c>
      <c r="B1353" s="4" t="s">
        <v>7</v>
      </c>
      <c r="C1353" s="4" t="s">
        <v>77</v>
      </c>
      <c r="D1353" s="16" t="s">
        <v>84</v>
      </c>
      <c r="E1353" s="16" t="s">
        <v>81</v>
      </c>
      <c r="F1353" s="3"/>
      <c r="G1353" s="8"/>
      <c r="H1353" s="8"/>
      <c r="I1353" s="8"/>
    </row>
    <row r="1354" spans="1:9" x14ac:dyDescent="0.25">
      <c r="A1354" s="4" t="s">
        <v>456</v>
      </c>
      <c r="B1354" s="4" t="s">
        <v>7</v>
      </c>
      <c r="C1354" s="4" t="s">
        <v>77</v>
      </c>
      <c r="D1354" s="16" t="s">
        <v>85</v>
      </c>
      <c r="E1354" s="16" t="s">
        <v>85</v>
      </c>
      <c r="F1354" s="16" t="s">
        <v>587</v>
      </c>
      <c r="G1354" s="8"/>
      <c r="H1354" s="8"/>
      <c r="I1354" s="8"/>
    </row>
    <row r="1355" spans="1:9" x14ac:dyDescent="0.25">
      <c r="A1355" s="4" t="s">
        <v>456</v>
      </c>
      <c r="B1355" s="4" t="s">
        <v>7</v>
      </c>
      <c r="C1355" s="4" t="s">
        <v>77</v>
      </c>
      <c r="D1355" s="16" t="s">
        <v>550</v>
      </c>
      <c r="E1355" s="16" t="s">
        <v>550</v>
      </c>
      <c r="F1355" s="3"/>
      <c r="G1355" s="8"/>
      <c r="H1355" s="8"/>
      <c r="I1355" s="8"/>
    </row>
    <row r="1356" spans="1:9" x14ac:dyDescent="0.25">
      <c r="A1356" s="4" t="s">
        <v>456</v>
      </c>
      <c r="B1356" s="4" t="s">
        <v>7</v>
      </c>
      <c r="C1356" s="4" t="s">
        <v>77</v>
      </c>
      <c r="D1356" s="16" t="s">
        <v>86</v>
      </c>
      <c r="E1356" s="16" t="s">
        <v>87</v>
      </c>
      <c r="F1356" s="16" t="s">
        <v>587</v>
      </c>
      <c r="G1356" s="8"/>
      <c r="H1356" s="8"/>
      <c r="I1356" s="8"/>
    </row>
    <row r="1357" spans="1:9" x14ac:dyDescent="0.25">
      <c r="A1357" s="4" t="s">
        <v>456</v>
      </c>
      <c r="B1357" s="4" t="s">
        <v>7</v>
      </c>
      <c r="C1357" s="4" t="s">
        <v>77</v>
      </c>
      <c r="D1357" s="16" t="s">
        <v>551</v>
      </c>
      <c r="E1357" s="16" t="s">
        <v>551</v>
      </c>
      <c r="F1357" s="16" t="s">
        <v>587</v>
      </c>
      <c r="G1357" s="8"/>
      <c r="H1357" s="8"/>
      <c r="I1357" s="8"/>
    </row>
    <row r="1358" spans="1:9" x14ac:dyDescent="0.25">
      <c r="A1358" s="4" t="s">
        <v>456</v>
      </c>
      <c r="B1358" s="4" t="s">
        <v>7</v>
      </c>
      <c r="C1358" s="4" t="s">
        <v>77</v>
      </c>
      <c r="D1358" s="16" t="s">
        <v>552</v>
      </c>
      <c r="E1358" s="16" t="s">
        <v>671</v>
      </c>
      <c r="F1358" s="16" t="s">
        <v>587</v>
      </c>
      <c r="G1358" s="8"/>
      <c r="H1358" s="8"/>
      <c r="I1358" s="8"/>
    </row>
    <row r="1359" spans="1:9" x14ac:dyDescent="0.25">
      <c r="A1359" s="4" t="s">
        <v>456</v>
      </c>
      <c r="B1359" s="4" t="s">
        <v>7</v>
      </c>
      <c r="C1359" s="4" t="s">
        <v>77</v>
      </c>
      <c r="D1359" s="16" t="s">
        <v>553</v>
      </c>
      <c r="E1359" s="16" t="s">
        <v>553</v>
      </c>
      <c r="F1359" s="16" t="s">
        <v>587</v>
      </c>
      <c r="G1359" s="8"/>
      <c r="H1359" s="8"/>
      <c r="I1359" s="8"/>
    </row>
    <row r="1360" spans="1:9" x14ac:dyDescent="0.25">
      <c r="A1360" s="4" t="s">
        <v>456</v>
      </c>
      <c r="B1360" s="4" t="s">
        <v>7</v>
      </c>
      <c r="C1360" s="4" t="s">
        <v>77</v>
      </c>
      <c r="D1360" s="16" t="s">
        <v>554</v>
      </c>
      <c r="E1360" s="16" t="s">
        <v>554</v>
      </c>
      <c r="F1360" s="3"/>
      <c r="G1360" s="8"/>
      <c r="H1360" s="8"/>
      <c r="I1360" s="8"/>
    </row>
    <row r="1361" spans="1:9" x14ac:dyDescent="0.25">
      <c r="A1361" s="4" t="s">
        <v>456</v>
      </c>
      <c r="B1361" s="4" t="s">
        <v>7</v>
      </c>
      <c r="C1361" s="4" t="s">
        <v>77</v>
      </c>
      <c r="D1361" s="16" t="s">
        <v>88</v>
      </c>
      <c r="E1361" s="16" t="s">
        <v>88</v>
      </c>
      <c r="F1361" s="16" t="s">
        <v>587</v>
      </c>
      <c r="G1361" s="8"/>
      <c r="H1361" s="8"/>
      <c r="I1361" s="8"/>
    </row>
    <row r="1362" spans="1:9" x14ac:dyDescent="0.25">
      <c r="A1362" s="4" t="s">
        <v>456</v>
      </c>
      <c r="B1362" s="4" t="s">
        <v>7</v>
      </c>
      <c r="C1362" s="4" t="s">
        <v>77</v>
      </c>
      <c r="D1362" s="16" t="s">
        <v>555</v>
      </c>
      <c r="E1362" s="16" t="s">
        <v>555</v>
      </c>
      <c r="F1362" s="3"/>
      <c r="G1362" s="8"/>
      <c r="H1362" s="8"/>
      <c r="I1362" s="8"/>
    </row>
    <row r="1363" spans="1:9" x14ac:dyDescent="0.25">
      <c r="A1363" s="4" t="s">
        <v>456</v>
      </c>
      <c r="B1363" s="4" t="s">
        <v>7</v>
      </c>
      <c r="C1363" s="4" t="s">
        <v>77</v>
      </c>
      <c r="D1363" s="16" t="s">
        <v>421</v>
      </c>
      <c r="E1363" s="16" t="s">
        <v>79</v>
      </c>
      <c r="F1363" s="3"/>
      <c r="G1363" s="8"/>
      <c r="H1363" s="8"/>
      <c r="I1363" s="8"/>
    </row>
    <row r="1364" spans="1:9" x14ac:dyDescent="0.25">
      <c r="A1364" s="4" t="s">
        <v>456</v>
      </c>
      <c r="B1364" s="4" t="s">
        <v>7</v>
      </c>
      <c r="C1364" s="4" t="s">
        <v>77</v>
      </c>
      <c r="D1364" s="16" t="s">
        <v>556</v>
      </c>
      <c r="E1364" s="16" t="s">
        <v>556</v>
      </c>
      <c r="F1364" s="3"/>
      <c r="G1364" s="8"/>
      <c r="H1364" s="8"/>
      <c r="I1364" s="8"/>
    </row>
    <row r="1365" spans="1:9" x14ac:dyDescent="0.25">
      <c r="A1365" s="4" t="s">
        <v>456</v>
      </c>
      <c r="B1365" s="4" t="s">
        <v>7</v>
      </c>
      <c r="C1365" s="4" t="s">
        <v>77</v>
      </c>
      <c r="D1365" s="16" t="s">
        <v>99</v>
      </c>
      <c r="E1365" s="16" t="s">
        <v>99</v>
      </c>
      <c r="F1365" s="16" t="s">
        <v>587</v>
      </c>
      <c r="G1365" s="8"/>
      <c r="H1365" s="8"/>
      <c r="I1365" s="8"/>
    </row>
    <row r="1366" spans="1:9" x14ac:dyDescent="0.25">
      <c r="A1366" s="4" t="s">
        <v>456</v>
      </c>
      <c r="B1366" s="4" t="s">
        <v>7</v>
      </c>
      <c r="C1366" s="4" t="s">
        <v>77</v>
      </c>
      <c r="D1366" s="16" t="s">
        <v>557</v>
      </c>
      <c r="E1366" s="16" t="s">
        <v>558</v>
      </c>
      <c r="F1366" s="3"/>
      <c r="G1366" s="8"/>
      <c r="H1366" s="8"/>
      <c r="I1366" s="8"/>
    </row>
    <row r="1367" spans="1:9" x14ac:dyDescent="0.25">
      <c r="A1367" s="4" t="s">
        <v>456</v>
      </c>
      <c r="B1367" s="4" t="s">
        <v>7</v>
      </c>
      <c r="C1367" s="4" t="s">
        <v>77</v>
      </c>
      <c r="D1367" s="16" t="s">
        <v>559</v>
      </c>
      <c r="E1367" s="16" t="s">
        <v>559</v>
      </c>
      <c r="F1367" s="16" t="s">
        <v>587</v>
      </c>
      <c r="G1367" s="8"/>
      <c r="H1367" s="8"/>
      <c r="I1367" s="8"/>
    </row>
    <row r="1368" spans="1:9" x14ac:dyDescent="0.25">
      <c r="A1368" s="4" t="s">
        <v>456</v>
      </c>
      <c r="B1368" s="4" t="s">
        <v>7</v>
      </c>
      <c r="C1368" s="4" t="s">
        <v>77</v>
      </c>
      <c r="D1368" s="16" t="s">
        <v>102</v>
      </c>
      <c r="E1368" s="16" t="s">
        <v>102</v>
      </c>
      <c r="F1368" s="16" t="s">
        <v>587</v>
      </c>
      <c r="G1368" s="8"/>
      <c r="H1368" s="8"/>
      <c r="I1368" s="8"/>
    </row>
    <row r="1369" spans="1:9" x14ac:dyDescent="0.25">
      <c r="A1369" s="4" t="s">
        <v>456</v>
      </c>
      <c r="B1369" s="4" t="s">
        <v>7</v>
      </c>
      <c r="C1369" s="4" t="s">
        <v>77</v>
      </c>
      <c r="D1369" s="16" t="s">
        <v>560</v>
      </c>
      <c r="E1369" s="16" t="s">
        <v>560</v>
      </c>
      <c r="F1369" s="3"/>
      <c r="G1369" s="8"/>
      <c r="H1369" s="8"/>
      <c r="I1369" s="8"/>
    </row>
    <row r="1370" spans="1:9" x14ac:dyDescent="0.25">
      <c r="A1370" s="4" t="s">
        <v>456</v>
      </c>
      <c r="B1370" s="4" t="s">
        <v>7</v>
      </c>
      <c r="C1370" s="4" t="s">
        <v>77</v>
      </c>
      <c r="D1370" s="16" t="s">
        <v>561</v>
      </c>
      <c r="E1370" s="16" t="s">
        <v>561</v>
      </c>
      <c r="F1370" s="3"/>
      <c r="G1370" s="8"/>
      <c r="H1370" s="8"/>
      <c r="I1370" s="8"/>
    </row>
    <row r="1371" spans="1:9" x14ac:dyDescent="0.25">
      <c r="A1371" s="4" t="s">
        <v>456</v>
      </c>
      <c r="B1371" s="4" t="s">
        <v>7</v>
      </c>
      <c r="C1371" s="4" t="s">
        <v>77</v>
      </c>
      <c r="D1371" s="16" t="s">
        <v>562</v>
      </c>
      <c r="E1371" s="16" t="s">
        <v>101</v>
      </c>
      <c r="F1371" s="16" t="s">
        <v>587</v>
      </c>
      <c r="G1371" s="8"/>
      <c r="H1371" s="8"/>
      <c r="I1371" s="8"/>
    </row>
    <row r="1372" spans="1:9" x14ac:dyDescent="0.25">
      <c r="A1372" s="4" t="s">
        <v>456</v>
      </c>
      <c r="B1372" s="4" t="s">
        <v>7</v>
      </c>
      <c r="C1372" s="4" t="s">
        <v>77</v>
      </c>
      <c r="D1372" s="16" t="s">
        <v>563</v>
      </c>
      <c r="E1372" s="16" t="s">
        <v>563</v>
      </c>
      <c r="F1372" s="16" t="s">
        <v>587</v>
      </c>
      <c r="G1372" s="8"/>
      <c r="H1372" s="8"/>
      <c r="I1372" s="8"/>
    </row>
    <row r="1373" spans="1:9" x14ac:dyDescent="0.25">
      <c r="A1373" s="4" t="s">
        <v>456</v>
      </c>
      <c r="B1373" s="4" t="s">
        <v>7</v>
      </c>
      <c r="C1373" s="4" t="s">
        <v>77</v>
      </c>
      <c r="D1373" s="16" t="s">
        <v>564</v>
      </c>
      <c r="E1373" s="16" t="s">
        <v>564</v>
      </c>
      <c r="F1373" s="3"/>
      <c r="G1373" s="8"/>
      <c r="H1373" s="8"/>
      <c r="I1373" s="8"/>
    </row>
    <row r="1374" spans="1:9" ht="30" x14ac:dyDescent="0.25">
      <c r="A1374" s="4" t="s">
        <v>456</v>
      </c>
      <c r="B1374" s="4" t="s">
        <v>7</v>
      </c>
      <c r="C1374" s="4" t="s">
        <v>77</v>
      </c>
      <c r="D1374" s="16" t="s">
        <v>672</v>
      </c>
      <c r="E1374" s="16" t="s">
        <v>673</v>
      </c>
      <c r="F1374" s="16" t="s">
        <v>674</v>
      </c>
      <c r="G1374" s="8"/>
      <c r="H1374" s="8"/>
      <c r="I1374" s="8"/>
    </row>
    <row r="1375" spans="1:9" ht="30" x14ac:dyDescent="0.25">
      <c r="A1375" s="4" t="s">
        <v>456</v>
      </c>
      <c r="B1375" s="4" t="s">
        <v>7</v>
      </c>
      <c r="C1375" s="4" t="s">
        <v>77</v>
      </c>
      <c r="D1375" s="16" t="s">
        <v>565</v>
      </c>
      <c r="E1375" s="16" t="s">
        <v>675</v>
      </c>
      <c r="F1375" s="16" t="s">
        <v>676</v>
      </c>
      <c r="G1375" s="8"/>
      <c r="H1375" s="8"/>
      <c r="I1375" s="8"/>
    </row>
    <row r="1376" spans="1:9" x14ac:dyDescent="0.25">
      <c r="A1376" s="4" t="s">
        <v>456</v>
      </c>
      <c r="B1376" s="4" t="s">
        <v>7</v>
      </c>
      <c r="C1376" s="4" t="s">
        <v>77</v>
      </c>
      <c r="D1376" s="16" t="s">
        <v>566</v>
      </c>
      <c r="E1376" s="16" t="s">
        <v>566</v>
      </c>
      <c r="F1376" s="16" t="s">
        <v>587</v>
      </c>
      <c r="G1376" s="8"/>
      <c r="H1376" s="8"/>
      <c r="I1376" s="8"/>
    </row>
    <row r="1377" spans="1:9" x14ac:dyDescent="0.25">
      <c r="A1377" s="4" t="s">
        <v>456</v>
      </c>
      <c r="B1377" s="4" t="s">
        <v>7</v>
      </c>
      <c r="C1377" s="4" t="s">
        <v>77</v>
      </c>
      <c r="D1377" s="16" t="s">
        <v>567</v>
      </c>
      <c r="E1377" s="16" t="s">
        <v>567</v>
      </c>
      <c r="F1377" s="16" t="s">
        <v>587</v>
      </c>
      <c r="G1377" s="8"/>
      <c r="H1377" s="8"/>
      <c r="I1377" s="8"/>
    </row>
    <row r="1378" spans="1:9" x14ac:dyDescent="0.25">
      <c r="A1378" s="4" t="s">
        <v>456</v>
      </c>
      <c r="B1378" s="4" t="s">
        <v>7</v>
      </c>
      <c r="C1378" s="4" t="s">
        <v>77</v>
      </c>
      <c r="D1378" s="16" t="s">
        <v>568</v>
      </c>
      <c r="E1378" s="16" t="s">
        <v>568</v>
      </c>
      <c r="F1378" s="16" t="s">
        <v>587</v>
      </c>
      <c r="G1378" s="8"/>
      <c r="H1378" s="8"/>
      <c r="I1378" s="8"/>
    </row>
    <row r="1379" spans="1:9" x14ac:dyDescent="0.25">
      <c r="A1379" s="4" t="s">
        <v>456</v>
      </c>
      <c r="B1379" s="4" t="s">
        <v>7</v>
      </c>
      <c r="C1379" s="4" t="s">
        <v>77</v>
      </c>
      <c r="D1379" s="16" t="s">
        <v>569</v>
      </c>
      <c r="E1379" s="16" t="s">
        <v>569</v>
      </c>
      <c r="F1379" s="16" t="s">
        <v>587</v>
      </c>
      <c r="G1379" s="8"/>
      <c r="H1379" s="8"/>
      <c r="I1379" s="8"/>
    </row>
    <row r="1380" spans="1:9" x14ac:dyDescent="0.25">
      <c r="A1380" s="4" t="s">
        <v>456</v>
      </c>
      <c r="B1380" s="4" t="s">
        <v>7</v>
      </c>
      <c r="C1380" s="4" t="s">
        <v>77</v>
      </c>
      <c r="D1380" s="16" t="s">
        <v>570</v>
      </c>
      <c r="E1380" s="16" t="s">
        <v>570</v>
      </c>
      <c r="F1380" s="16" t="s">
        <v>587</v>
      </c>
      <c r="G1380" s="8"/>
      <c r="H1380" s="8"/>
      <c r="I1380" s="8"/>
    </row>
    <row r="1381" spans="1:9" x14ac:dyDescent="0.25">
      <c r="A1381" s="4" t="s">
        <v>456</v>
      </c>
      <c r="B1381" s="4" t="s">
        <v>7</v>
      </c>
      <c r="C1381" s="4" t="s">
        <v>77</v>
      </c>
      <c r="D1381" s="16" t="s">
        <v>571</v>
      </c>
      <c r="E1381" s="16" t="s">
        <v>571</v>
      </c>
      <c r="F1381" s="16" t="s">
        <v>587</v>
      </c>
      <c r="G1381" s="8"/>
      <c r="H1381" s="8"/>
      <c r="I1381" s="8"/>
    </row>
    <row r="1382" spans="1:9" x14ac:dyDescent="0.25">
      <c r="A1382" s="4" t="s">
        <v>456</v>
      </c>
      <c r="B1382" s="4" t="s">
        <v>7</v>
      </c>
      <c r="C1382" s="4" t="s">
        <v>77</v>
      </c>
      <c r="D1382" s="16" t="s">
        <v>572</v>
      </c>
      <c r="E1382" s="16" t="s">
        <v>572</v>
      </c>
      <c r="F1382" s="16" t="s">
        <v>587</v>
      </c>
      <c r="G1382" s="8"/>
      <c r="H1382" s="8"/>
      <c r="I1382" s="8"/>
    </row>
    <row r="1383" spans="1:9" x14ac:dyDescent="0.25">
      <c r="A1383" s="4" t="s">
        <v>456</v>
      </c>
      <c r="B1383" s="4" t="s">
        <v>7</v>
      </c>
      <c r="C1383" s="4" t="s">
        <v>77</v>
      </c>
      <c r="D1383" s="16" t="s">
        <v>677</v>
      </c>
      <c r="E1383" s="16" t="s">
        <v>573</v>
      </c>
      <c r="F1383" s="3"/>
      <c r="G1383" s="8"/>
      <c r="H1383" s="8"/>
      <c r="I1383" s="8"/>
    </row>
    <row r="1384" spans="1:9" x14ac:dyDescent="0.25">
      <c r="A1384" s="4" t="s">
        <v>456</v>
      </c>
      <c r="B1384" s="4" t="s">
        <v>7</v>
      </c>
      <c r="C1384" s="4" t="s">
        <v>77</v>
      </c>
      <c r="D1384" s="16" t="s">
        <v>466</v>
      </c>
      <c r="E1384" s="16" t="s">
        <v>466</v>
      </c>
      <c r="F1384" s="3"/>
      <c r="G1384" s="8"/>
      <c r="H1384" s="8"/>
      <c r="I1384" s="8"/>
    </row>
    <row r="1385" spans="1:9" x14ac:dyDescent="0.25">
      <c r="A1385" s="4" t="s">
        <v>456</v>
      </c>
      <c r="B1385" s="4" t="s">
        <v>7</v>
      </c>
      <c r="C1385" s="4" t="s">
        <v>77</v>
      </c>
      <c r="D1385" s="16" t="s">
        <v>574</v>
      </c>
      <c r="E1385" s="16" t="s">
        <v>574</v>
      </c>
      <c r="F1385" s="3"/>
      <c r="G1385" s="8"/>
      <c r="H1385" s="8"/>
      <c r="I1385" s="8"/>
    </row>
    <row r="1386" spans="1:9" x14ac:dyDescent="0.25">
      <c r="A1386" s="4" t="s">
        <v>456</v>
      </c>
      <c r="B1386" s="4" t="s">
        <v>7</v>
      </c>
      <c r="C1386" s="4" t="s">
        <v>77</v>
      </c>
      <c r="D1386" s="16" t="s">
        <v>575</v>
      </c>
      <c r="E1386" s="16" t="s">
        <v>575</v>
      </c>
      <c r="F1386" s="3"/>
      <c r="G1386" s="8"/>
      <c r="H1386" s="8"/>
      <c r="I1386" s="8"/>
    </row>
    <row r="1387" spans="1:9" ht="30" x14ac:dyDescent="0.25">
      <c r="A1387" s="4" t="s">
        <v>456</v>
      </c>
      <c r="B1387" s="4" t="s">
        <v>7</v>
      </c>
      <c r="C1387" s="4" t="s">
        <v>77</v>
      </c>
      <c r="D1387" s="16" t="s">
        <v>576</v>
      </c>
      <c r="E1387" s="16" t="s">
        <v>576</v>
      </c>
      <c r="F1387" s="3"/>
      <c r="G1387" s="8"/>
      <c r="H1387" s="8"/>
      <c r="I1387" s="8"/>
    </row>
    <row r="1388" spans="1:9" x14ac:dyDescent="0.25">
      <c r="A1388" s="4" t="s">
        <v>456</v>
      </c>
      <c r="B1388" s="4" t="s">
        <v>7</v>
      </c>
      <c r="C1388" s="4" t="s">
        <v>77</v>
      </c>
      <c r="D1388" s="16" t="s">
        <v>577</v>
      </c>
      <c r="E1388" s="16" t="s">
        <v>89</v>
      </c>
      <c r="F1388" s="3"/>
      <c r="G1388" s="8"/>
      <c r="H1388" s="8"/>
      <c r="I1388" s="8"/>
    </row>
    <row r="1389" spans="1:9" x14ac:dyDescent="0.25">
      <c r="A1389" s="4" t="s">
        <v>456</v>
      </c>
      <c r="B1389" s="4" t="s">
        <v>7</v>
      </c>
      <c r="C1389" s="4" t="s">
        <v>77</v>
      </c>
      <c r="D1389" s="16" t="s">
        <v>578</v>
      </c>
      <c r="E1389" s="16" t="s">
        <v>487</v>
      </c>
      <c r="F1389" s="3"/>
      <c r="G1389" s="8"/>
      <c r="H1389" s="8"/>
      <c r="I1389" s="8"/>
    </row>
    <row r="1390" spans="1:9" x14ac:dyDescent="0.25">
      <c r="A1390" s="4" t="s">
        <v>456</v>
      </c>
      <c r="B1390" s="4" t="s">
        <v>7</v>
      </c>
      <c r="C1390" s="4" t="s">
        <v>77</v>
      </c>
      <c r="D1390" s="16" t="s">
        <v>579</v>
      </c>
      <c r="E1390" s="16" t="s">
        <v>579</v>
      </c>
      <c r="F1390" s="3"/>
      <c r="G1390" s="8"/>
      <c r="H1390" s="8"/>
      <c r="I1390" s="8"/>
    </row>
    <row r="1391" spans="1:9" x14ac:dyDescent="0.25">
      <c r="A1391" s="4" t="s">
        <v>456</v>
      </c>
      <c r="B1391" s="4" t="s">
        <v>7</v>
      </c>
      <c r="C1391" s="4" t="s">
        <v>77</v>
      </c>
      <c r="D1391" s="16" t="s">
        <v>580</v>
      </c>
      <c r="E1391" s="16" t="s">
        <v>580</v>
      </c>
      <c r="F1391" s="3"/>
      <c r="G1391" s="8"/>
      <c r="H1391" s="8"/>
      <c r="I1391" s="8"/>
    </row>
    <row r="1392" spans="1:9" x14ac:dyDescent="0.25">
      <c r="A1392" s="4" t="s">
        <v>456</v>
      </c>
      <c r="B1392" s="4" t="s">
        <v>7</v>
      </c>
      <c r="C1392" s="4" t="s">
        <v>77</v>
      </c>
      <c r="D1392" s="16" t="s">
        <v>581</v>
      </c>
      <c r="E1392" s="16" t="s">
        <v>806</v>
      </c>
      <c r="F1392" s="3"/>
      <c r="G1392" s="8"/>
      <c r="H1392" s="8"/>
      <c r="I1392" s="8"/>
    </row>
    <row r="1393" spans="1:9" x14ac:dyDescent="0.25">
      <c r="A1393" s="4" t="s">
        <v>456</v>
      </c>
      <c r="B1393" s="4" t="s">
        <v>7</v>
      </c>
      <c r="C1393" s="4" t="s">
        <v>77</v>
      </c>
      <c r="D1393" s="16" t="s">
        <v>582</v>
      </c>
      <c r="E1393" s="16" t="s">
        <v>582</v>
      </c>
      <c r="F1393" s="3"/>
      <c r="G1393" s="8"/>
      <c r="H1393" s="8"/>
      <c r="I1393" s="8"/>
    </row>
    <row r="1394" spans="1:9" x14ac:dyDescent="0.25">
      <c r="A1394" s="4" t="s">
        <v>456</v>
      </c>
      <c r="B1394" s="4" t="s">
        <v>7</v>
      </c>
      <c r="C1394" s="4" t="s">
        <v>77</v>
      </c>
      <c r="D1394" s="16" t="s">
        <v>583</v>
      </c>
      <c r="E1394" s="16" t="s">
        <v>583</v>
      </c>
      <c r="F1394" s="3"/>
      <c r="G1394" s="8"/>
      <c r="H1394" s="8"/>
      <c r="I1394" s="8"/>
    </row>
    <row r="1395" spans="1:9" x14ac:dyDescent="0.25">
      <c r="A1395" s="4" t="s">
        <v>456</v>
      </c>
      <c r="B1395" s="4" t="s">
        <v>7</v>
      </c>
      <c r="C1395" s="4" t="s">
        <v>77</v>
      </c>
      <c r="D1395" s="16" t="s">
        <v>320</v>
      </c>
      <c r="E1395" s="16" t="s">
        <v>320</v>
      </c>
      <c r="F1395" s="3"/>
      <c r="G1395" s="8"/>
      <c r="H1395" s="8"/>
      <c r="I1395" s="8"/>
    </row>
    <row r="1396" spans="1:9" ht="30" x14ac:dyDescent="0.25">
      <c r="A1396" s="4" t="s">
        <v>456</v>
      </c>
      <c r="B1396" s="4" t="s">
        <v>7</v>
      </c>
      <c r="C1396" s="4" t="s">
        <v>77</v>
      </c>
      <c r="D1396" s="16" t="s">
        <v>584</v>
      </c>
      <c r="E1396" s="16" t="s">
        <v>272</v>
      </c>
      <c r="F1396" s="3"/>
      <c r="G1396" s="8"/>
      <c r="H1396" s="8"/>
      <c r="I1396" s="8"/>
    </row>
    <row r="1397" spans="1:9" x14ac:dyDescent="0.25">
      <c r="A1397" s="4" t="s">
        <v>456</v>
      </c>
      <c r="B1397" s="4" t="s">
        <v>7</v>
      </c>
      <c r="C1397" s="4" t="s">
        <v>77</v>
      </c>
      <c r="D1397" s="16" t="s">
        <v>585</v>
      </c>
      <c r="E1397" s="16" t="s">
        <v>585</v>
      </c>
      <c r="F1397" s="3"/>
      <c r="G1397" s="8"/>
      <c r="H1397" s="8"/>
      <c r="I1397" s="8"/>
    </row>
    <row r="1398" spans="1:9" x14ac:dyDescent="0.25">
      <c r="A1398" s="4" t="s">
        <v>456</v>
      </c>
      <c r="B1398" s="4" t="s">
        <v>7</v>
      </c>
      <c r="C1398" s="4" t="s">
        <v>77</v>
      </c>
      <c r="D1398" s="16" t="s">
        <v>586</v>
      </c>
      <c r="E1398" s="16" t="s">
        <v>586</v>
      </c>
      <c r="F1398" s="3"/>
      <c r="G1398" s="8"/>
      <c r="H1398" s="8"/>
      <c r="I1398" s="8"/>
    </row>
    <row r="1399" spans="1:9" x14ac:dyDescent="0.25">
      <c r="A1399" s="4" t="s">
        <v>456</v>
      </c>
      <c r="B1399" s="4" t="s">
        <v>7</v>
      </c>
      <c r="C1399" s="4" t="s">
        <v>77</v>
      </c>
      <c r="D1399" s="16" t="s">
        <v>678</v>
      </c>
      <c r="E1399" s="16" t="s">
        <v>678</v>
      </c>
      <c r="F1399" s="16" t="s">
        <v>587</v>
      </c>
      <c r="G1399" s="8"/>
      <c r="H1399" s="8"/>
      <c r="I1399" s="8"/>
    </row>
    <row r="1400" spans="1:9" x14ac:dyDescent="0.25">
      <c r="A1400" s="4" t="s">
        <v>456</v>
      </c>
      <c r="B1400" s="4" t="s">
        <v>7</v>
      </c>
      <c r="C1400" s="4" t="s">
        <v>77</v>
      </c>
      <c r="D1400" s="16" t="s">
        <v>679</v>
      </c>
      <c r="E1400" s="16" t="s">
        <v>679</v>
      </c>
      <c r="F1400" s="16" t="s">
        <v>587</v>
      </c>
      <c r="G1400" s="8"/>
      <c r="H1400" s="8"/>
      <c r="I1400" s="8"/>
    </row>
    <row r="1401" spans="1:9" ht="30" x14ac:dyDescent="0.25">
      <c r="A1401" s="4" t="s">
        <v>456</v>
      </c>
      <c r="B1401" s="4" t="s">
        <v>7</v>
      </c>
      <c r="C1401" s="4" t="s">
        <v>77</v>
      </c>
      <c r="D1401" s="16" t="s">
        <v>680</v>
      </c>
      <c r="E1401" s="16" t="s">
        <v>680</v>
      </c>
      <c r="F1401" s="16" t="s">
        <v>587</v>
      </c>
      <c r="G1401" s="8"/>
      <c r="H1401" s="8"/>
      <c r="I1401" s="8"/>
    </row>
    <row r="1402" spans="1:9" x14ac:dyDescent="0.25">
      <c r="A1402" s="4" t="s">
        <v>456</v>
      </c>
      <c r="B1402" s="4" t="s">
        <v>7</v>
      </c>
      <c r="C1402" s="4" t="s">
        <v>77</v>
      </c>
      <c r="D1402" s="16" t="s">
        <v>555</v>
      </c>
      <c r="E1402" s="16" t="s">
        <v>661</v>
      </c>
      <c r="F1402" s="16" t="s">
        <v>587</v>
      </c>
      <c r="G1402" s="8"/>
      <c r="H1402" s="8"/>
      <c r="I1402" s="8"/>
    </row>
    <row r="1403" spans="1:9" x14ac:dyDescent="0.25">
      <c r="A1403" s="4" t="s">
        <v>456</v>
      </c>
      <c r="B1403" s="4" t="s">
        <v>7</v>
      </c>
      <c r="C1403" s="4" t="s">
        <v>77</v>
      </c>
      <c r="D1403" s="16" t="s">
        <v>564</v>
      </c>
      <c r="E1403" s="16" t="s">
        <v>681</v>
      </c>
      <c r="F1403" s="16" t="s">
        <v>587</v>
      </c>
      <c r="G1403" s="8"/>
      <c r="H1403" s="8"/>
      <c r="I1403" s="8"/>
    </row>
    <row r="1404" spans="1:9" x14ac:dyDescent="0.25">
      <c r="A1404" s="4" t="s">
        <v>456</v>
      </c>
      <c r="B1404" s="4" t="s">
        <v>7</v>
      </c>
      <c r="C1404" s="4" t="s">
        <v>77</v>
      </c>
      <c r="D1404" s="16" t="s">
        <v>573</v>
      </c>
      <c r="E1404" s="16" t="s">
        <v>682</v>
      </c>
      <c r="F1404" s="16" t="s">
        <v>587</v>
      </c>
      <c r="G1404" s="8"/>
      <c r="H1404" s="8"/>
      <c r="I1404" s="8"/>
    </row>
    <row r="1405" spans="1:9" ht="30" x14ac:dyDescent="0.25">
      <c r="A1405" s="4" t="s">
        <v>456</v>
      </c>
      <c r="B1405" s="4" t="s">
        <v>7</v>
      </c>
      <c r="C1405" s="4" t="s">
        <v>95</v>
      </c>
      <c r="D1405" s="16" t="s">
        <v>614</v>
      </c>
      <c r="E1405" s="16" t="s">
        <v>81</v>
      </c>
      <c r="F1405" s="3"/>
      <c r="G1405" s="16" t="s">
        <v>34</v>
      </c>
      <c r="H1405" s="16" t="s">
        <v>60</v>
      </c>
      <c r="I1405" s="16" t="e">
        <f>VLOOKUP(A1405&amp;G1405&amp;H1405,#REF!,2,FALSE)</f>
        <v>#REF!</v>
      </c>
    </row>
    <row r="1406" spans="1:9" ht="45" x14ac:dyDescent="0.25">
      <c r="A1406" s="4" t="s">
        <v>456</v>
      </c>
      <c r="B1406" s="4" t="s">
        <v>7</v>
      </c>
      <c r="C1406" s="4" t="s">
        <v>96</v>
      </c>
      <c r="D1406" s="16" t="s">
        <v>615</v>
      </c>
      <c r="E1406" s="16" t="s">
        <v>81</v>
      </c>
      <c r="F1406" s="16" t="s">
        <v>616</v>
      </c>
      <c r="G1406" s="16" t="s">
        <v>31</v>
      </c>
      <c r="H1406" s="16" t="s">
        <v>617</v>
      </c>
      <c r="I1406" s="16" t="e">
        <f>VLOOKUP(A1406&amp;G1406&amp;H1406,#REF!,2,FALSE)</f>
        <v>#REF!</v>
      </c>
    </row>
    <row r="1407" spans="1:9" ht="30" x14ac:dyDescent="0.25">
      <c r="A1407" s="4" t="s">
        <v>456</v>
      </c>
      <c r="B1407" s="4" t="s">
        <v>7</v>
      </c>
      <c r="C1407" s="4" t="s">
        <v>96</v>
      </c>
      <c r="D1407" s="16" t="s">
        <v>274</v>
      </c>
      <c r="E1407" s="16" t="s">
        <v>81</v>
      </c>
      <c r="F1407" s="16" t="s">
        <v>587</v>
      </c>
      <c r="G1407" s="16" t="s">
        <v>2</v>
      </c>
      <c r="H1407" s="16" t="s">
        <v>59</v>
      </c>
      <c r="I1407" s="16" t="e">
        <f>VLOOKUP(A1407&amp;G1407&amp;H1407,#REF!,2,FALSE)</f>
        <v>#REF!</v>
      </c>
    </row>
    <row r="1408" spans="1:9" ht="30" x14ac:dyDescent="0.25">
      <c r="A1408" s="4" t="s">
        <v>456</v>
      </c>
      <c r="B1408" s="4" t="s">
        <v>7</v>
      </c>
      <c r="C1408" s="4" t="s">
        <v>96</v>
      </c>
      <c r="D1408" s="16" t="e">
        <f>I1408&amp;".txt"</f>
        <v>#REF!</v>
      </c>
      <c r="E1408" s="16" t="s">
        <v>81</v>
      </c>
      <c r="F1408" s="16" t="s">
        <v>683</v>
      </c>
      <c r="G1408" s="16" t="s">
        <v>2</v>
      </c>
      <c r="H1408" s="16" t="s">
        <v>59</v>
      </c>
      <c r="I1408" s="16" t="e">
        <f>VLOOKUP(A1408&amp;G1408&amp;H1408,#REF!,2,FALSE)</f>
        <v>#REF!</v>
      </c>
    </row>
    <row r="1409" spans="1:9" x14ac:dyDescent="0.25">
      <c r="A1409" s="4" t="s">
        <v>456</v>
      </c>
      <c r="B1409" s="4" t="s">
        <v>7</v>
      </c>
      <c r="C1409" s="4" t="s">
        <v>96</v>
      </c>
      <c r="D1409" s="16" t="e">
        <f>I1409&amp;".txt"</f>
        <v>#REF!</v>
      </c>
      <c r="E1409" s="16" t="s">
        <v>81</v>
      </c>
      <c r="F1409" s="16" t="s">
        <v>17</v>
      </c>
      <c r="G1409" s="16" t="s">
        <v>10</v>
      </c>
      <c r="H1409" s="16" t="s">
        <v>10</v>
      </c>
      <c r="I1409" s="16" t="e">
        <f>VLOOKUP(A1409&amp;G1409&amp;H1409,#REF!,2,FALSE)</f>
        <v>#REF!</v>
      </c>
    </row>
    <row r="1410" spans="1:9" x14ac:dyDescent="0.25">
      <c r="A1410" s="4" t="s">
        <v>456</v>
      </c>
      <c r="B1410" s="4" t="s">
        <v>7</v>
      </c>
      <c r="C1410" s="4" t="s">
        <v>96</v>
      </c>
      <c r="D1410" s="16" t="e">
        <f>I1410&amp;".txt"</f>
        <v>#REF!</v>
      </c>
      <c r="E1410" s="16" t="s">
        <v>81</v>
      </c>
      <c r="F1410" s="16" t="s">
        <v>684</v>
      </c>
      <c r="G1410" s="16" t="s">
        <v>8</v>
      </c>
      <c r="H1410" s="16" t="s">
        <v>589</v>
      </c>
      <c r="I1410" s="16" t="e">
        <f>VLOOKUP(A1410&amp;G1410&amp;H1410,#REF!,2,FALSE)</f>
        <v>#REF!</v>
      </c>
    </row>
    <row r="1411" spans="1:9" x14ac:dyDescent="0.25">
      <c r="A1411" s="4" t="s">
        <v>456</v>
      </c>
      <c r="B1411" s="4" t="s">
        <v>7</v>
      </c>
      <c r="C1411" s="4" t="s">
        <v>96</v>
      </c>
      <c r="D1411" s="16" t="s">
        <v>621</v>
      </c>
      <c r="E1411" s="16" t="s">
        <v>81</v>
      </c>
      <c r="F1411" s="16" t="s">
        <v>685</v>
      </c>
      <c r="G1411" s="16" t="s">
        <v>9</v>
      </c>
      <c r="H1411" s="16" t="s">
        <v>590</v>
      </c>
      <c r="I1411" s="16" t="e">
        <f>VLOOKUP(A1411&amp;G1411&amp;H1411,#REF!,2,FALSE)</f>
        <v>#REF!</v>
      </c>
    </row>
    <row r="1412" spans="1:9" x14ac:dyDescent="0.25">
      <c r="G1412" s="8"/>
      <c r="H1412" s="8"/>
      <c r="I1412" s="8"/>
    </row>
    <row r="1413" spans="1:9" x14ac:dyDescent="0.25">
      <c r="G1413" s="8"/>
      <c r="H1413" s="8"/>
      <c r="I1413" s="8"/>
    </row>
    <row r="1414" spans="1:9" x14ac:dyDescent="0.25">
      <c r="A1414" s="4"/>
      <c r="B1414" s="4"/>
      <c r="C1414" s="4"/>
      <c r="D1414" s="4"/>
      <c r="E1414" s="16"/>
      <c r="F1414" s="16"/>
      <c r="G1414" s="8"/>
      <c r="H1414" s="8"/>
      <c r="I1414" s="8"/>
    </row>
    <row r="1415" spans="1:9" x14ac:dyDescent="0.25">
      <c r="A1415" s="4"/>
      <c r="B1415" s="4"/>
      <c r="C1415" s="4"/>
      <c r="D1415" s="4"/>
      <c r="E1415" s="4"/>
      <c r="F1415" s="4"/>
      <c r="G1415" s="8"/>
      <c r="H1415" s="8"/>
      <c r="I1415" s="8"/>
    </row>
    <row r="1416" spans="1:9" x14ac:dyDescent="0.25">
      <c r="A1416" s="3" t="s">
        <v>698</v>
      </c>
      <c r="B1416" s="4" t="s">
        <v>728</v>
      </c>
      <c r="C1416" s="4" t="s">
        <v>77</v>
      </c>
      <c r="D1416" s="16" t="s">
        <v>81</v>
      </c>
      <c r="E1416" s="16" t="s">
        <v>81</v>
      </c>
      <c r="F1416" s="16"/>
      <c r="G1416" s="8"/>
      <c r="H1416" s="8"/>
      <c r="I1416" s="8"/>
    </row>
    <row r="1417" spans="1:9" x14ac:dyDescent="0.25">
      <c r="A1417" s="3" t="s">
        <v>698</v>
      </c>
      <c r="B1417" s="4" t="s">
        <v>728</v>
      </c>
      <c r="C1417" s="4" t="s">
        <v>77</v>
      </c>
      <c r="D1417" s="16" t="s">
        <v>87</v>
      </c>
      <c r="E1417" s="16" t="s">
        <v>87</v>
      </c>
      <c r="F1417" s="16"/>
      <c r="G1417" s="8"/>
      <c r="H1417" s="8"/>
      <c r="I1417" s="8"/>
    </row>
    <row r="1418" spans="1:9" x14ac:dyDescent="0.25">
      <c r="A1418" s="3" t="s">
        <v>698</v>
      </c>
      <c r="B1418" s="4" t="s">
        <v>728</v>
      </c>
      <c r="C1418" s="4" t="s">
        <v>77</v>
      </c>
      <c r="D1418" s="16" t="s">
        <v>704</v>
      </c>
      <c r="E1418" s="16" t="s">
        <v>704</v>
      </c>
      <c r="F1418" s="16"/>
      <c r="G1418" s="8"/>
      <c r="H1418" s="8"/>
      <c r="I1418" s="8"/>
    </row>
    <row r="1419" spans="1:9" x14ac:dyDescent="0.25">
      <c r="A1419" s="3" t="s">
        <v>698</v>
      </c>
      <c r="B1419" s="4" t="s">
        <v>728</v>
      </c>
      <c r="C1419" s="4" t="s">
        <v>77</v>
      </c>
      <c r="D1419" s="16" t="s">
        <v>727</v>
      </c>
      <c r="E1419" s="16" t="s">
        <v>1467</v>
      </c>
      <c r="F1419" s="16" t="s">
        <v>724</v>
      </c>
      <c r="G1419" s="8"/>
      <c r="H1419" s="8"/>
      <c r="I1419" s="8"/>
    </row>
    <row r="1420" spans="1:9" x14ac:dyDescent="0.25">
      <c r="A1420" s="3" t="s">
        <v>698</v>
      </c>
      <c r="B1420" s="4" t="s">
        <v>728</v>
      </c>
      <c r="C1420" s="4" t="s">
        <v>77</v>
      </c>
      <c r="D1420" s="16" t="s">
        <v>705</v>
      </c>
      <c r="E1420" s="16" t="s">
        <v>705</v>
      </c>
      <c r="F1420" s="16"/>
      <c r="G1420" s="8"/>
      <c r="H1420" s="8"/>
      <c r="I1420" s="8"/>
    </row>
    <row r="1421" spans="1:9" x14ac:dyDescent="0.25">
      <c r="A1421" s="3" t="s">
        <v>698</v>
      </c>
      <c r="B1421" s="4" t="s">
        <v>728</v>
      </c>
      <c r="C1421" s="4" t="s">
        <v>77</v>
      </c>
      <c r="D1421" s="16" t="s">
        <v>706</v>
      </c>
      <c r="E1421" s="16" t="s">
        <v>706</v>
      </c>
      <c r="F1421" s="16"/>
      <c r="G1421" s="8"/>
      <c r="H1421" s="8"/>
      <c r="I1421" s="8"/>
    </row>
    <row r="1422" spans="1:9" x14ac:dyDescent="0.25">
      <c r="A1422" s="3" t="s">
        <v>698</v>
      </c>
      <c r="B1422" s="4" t="s">
        <v>728</v>
      </c>
      <c r="C1422" s="4" t="s">
        <v>77</v>
      </c>
      <c r="D1422" s="16" t="s">
        <v>707</v>
      </c>
      <c r="E1422" s="16" t="s">
        <v>707</v>
      </c>
      <c r="F1422" s="16"/>
      <c r="G1422" s="8"/>
      <c r="H1422" s="8"/>
      <c r="I1422" s="8"/>
    </row>
    <row r="1423" spans="1:9" x14ac:dyDescent="0.25">
      <c r="A1423" s="3" t="s">
        <v>698</v>
      </c>
      <c r="B1423" s="4" t="s">
        <v>728</v>
      </c>
      <c r="C1423" s="4" t="s">
        <v>77</v>
      </c>
      <c r="D1423" s="16" t="s">
        <v>708</v>
      </c>
      <c r="E1423" s="16" t="s">
        <v>708</v>
      </c>
      <c r="F1423" s="16"/>
      <c r="G1423" s="8"/>
      <c r="H1423" s="8"/>
      <c r="I1423" s="8"/>
    </row>
    <row r="1424" spans="1:9" x14ac:dyDescent="0.25">
      <c r="A1424" s="3" t="s">
        <v>698</v>
      </c>
      <c r="B1424" s="4" t="s">
        <v>728</v>
      </c>
      <c r="C1424" s="4" t="s">
        <v>77</v>
      </c>
      <c r="D1424" s="16" t="s">
        <v>709</v>
      </c>
      <c r="E1424" s="16" t="s">
        <v>709</v>
      </c>
      <c r="F1424" s="16"/>
      <c r="G1424" s="8"/>
      <c r="H1424" s="8"/>
      <c r="I1424" s="8"/>
    </row>
    <row r="1425" spans="1:9" x14ac:dyDescent="0.25">
      <c r="A1425" s="3" t="s">
        <v>698</v>
      </c>
      <c r="B1425" s="4" t="s">
        <v>728</v>
      </c>
      <c r="C1425" s="4" t="s">
        <v>77</v>
      </c>
      <c r="D1425" s="16" t="s">
        <v>710</v>
      </c>
      <c r="E1425" s="16" t="s">
        <v>710</v>
      </c>
      <c r="F1425" s="16"/>
      <c r="G1425" s="8"/>
      <c r="H1425" s="8"/>
      <c r="I1425" s="8"/>
    </row>
    <row r="1426" spans="1:9" x14ac:dyDescent="0.25">
      <c r="A1426" s="3" t="s">
        <v>698</v>
      </c>
      <c r="B1426" s="4" t="s">
        <v>728</v>
      </c>
      <c r="C1426" s="4" t="s">
        <v>77</v>
      </c>
      <c r="D1426" s="16" t="s">
        <v>711</v>
      </c>
      <c r="E1426" s="16" t="s">
        <v>711</v>
      </c>
      <c r="F1426" s="16"/>
      <c r="G1426" s="8"/>
      <c r="H1426" s="8"/>
      <c r="I1426" s="8"/>
    </row>
    <row r="1427" spans="1:9" x14ac:dyDescent="0.25">
      <c r="A1427" s="3" t="s">
        <v>698</v>
      </c>
      <c r="B1427" s="4" t="s">
        <v>728</v>
      </c>
      <c r="C1427" s="4" t="s">
        <v>77</v>
      </c>
      <c r="D1427" s="16" t="s">
        <v>712</v>
      </c>
      <c r="E1427" s="16" t="s">
        <v>712</v>
      </c>
      <c r="F1427" s="16"/>
      <c r="G1427" s="8"/>
      <c r="H1427" s="8"/>
      <c r="I1427" s="8"/>
    </row>
    <row r="1428" spans="1:9" x14ac:dyDescent="0.25">
      <c r="A1428" s="3" t="s">
        <v>698</v>
      </c>
      <c r="B1428" s="4" t="s">
        <v>728</v>
      </c>
      <c r="C1428" s="4" t="s">
        <v>77</v>
      </c>
      <c r="D1428" s="16" t="s">
        <v>713</v>
      </c>
      <c r="E1428" s="16" t="s">
        <v>713</v>
      </c>
      <c r="F1428" s="16"/>
      <c r="G1428" s="8"/>
      <c r="H1428" s="8"/>
      <c r="I1428" s="8"/>
    </row>
    <row r="1429" spans="1:9" x14ac:dyDescent="0.25">
      <c r="A1429" s="3" t="s">
        <v>698</v>
      </c>
      <c r="B1429" s="4" t="s">
        <v>728</v>
      </c>
      <c r="C1429" s="4" t="s">
        <v>77</v>
      </c>
      <c r="D1429" s="16" t="s">
        <v>714</v>
      </c>
      <c r="E1429" s="16" t="s">
        <v>714</v>
      </c>
      <c r="F1429" s="16"/>
      <c r="G1429" s="8"/>
      <c r="H1429" s="8"/>
      <c r="I1429" s="8"/>
    </row>
    <row r="1430" spans="1:9" x14ac:dyDescent="0.25">
      <c r="A1430" s="3" t="s">
        <v>698</v>
      </c>
      <c r="B1430" s="4" t="s">
        <v>728</v>
      </c>
      <c r="C1430" s="4" t="s">
        <v>77</v>
      </c>
      <c r="D1430" s="16" t="s">
        <v>715</v>
      </c>
      <c r="E1430" s="16" t="s">
        <v>715</v>
      </c>
      <c r="F1430" s="16"/>
      <c r="G1430" s="8"/>
      <c r="H1430" s="8"/>
      <c r="I1430" s="8"/>
    </row>
    <row r="1431" spans="1:9" x14ac:dyDescent="0.25">
      <c r="A1431" s="3" t="s">
        <v>698</v>
      </c>
      <c r="B1431" s="4" t="s">
        <v>728</v>
      </c>
      <c r="C1431" s="4" t="s">
        <v>77</v>
      </c>
      <c r="D1431" s="16" t="s">
        <v>716</v>
      </c>
      <c r="E1431" s="16" t="s">
        <v>716</v>
      </c>
      <c r="F1431" s="16"/>
      <c r="G1431" s="8"/>
      <c r="H1431" s="8"/>
      <c r="I1431" s="8"/>
    </row>
    <row r="1432" spans="1:9" x14ac:dyDescent="0.25">
      <c r="A1432" s="3" t="s">
        <v>698</v>
      </c>
      <c r="B1432" s="4" t="s">
        <v>728</v>
      </c>
      <c r="C1432" s="4" t="s">
        <v>77</v>
      </c>
      <c r="D1432" s="16" t="s">
        <v>717</v>
      </c>
      <c r="E1432" s="16" t="s">
        <v>717</v>
      </c>
      <c r="F1432" s="16"/>
      <c r="G1432" s="8"/>
      <c r="H1432" s="8"/>
      <c r="I1432" s="8"/>
    </row>
    <row r="1433" spans="1:9" x14ac:dyDescent="0.25">
      <c r="A1433" s="3" t="s">
        <v>698</v>
      </c>
      <c r="B1433" s="4" t="s">
        <v>728</v>
      </c>
      <c r="C1433" s="4" t="s">
        <v>77</v>
      </c>
      <c r="D1433" s="16" t="s">
        <v>718</v>
      </c>
      <c r="E1433" s="16" t="s">
        <v>718</v>
      </c>
      <c r="F1433" s="16"/>
      <c r="G1433" s="8"/>
      <c r="H1433" s="8"/>
      <c r="I1433" s="8"/>
    </row>
    <row r="1434" spans="1:9" x14ac:dyDescent="0.25">
      <c r="A1434" s="3" t="s">
        <v>698</v>
      </c>
      <c r="B1434" s="4" t="s">
        <v>728</v>
      </c>
      <c r="C1434" s="4" t="s">
        <v>77</v>
      </c>
      <c r="D1434" s="16" t="s">
        <v>719</v>
      </c>
      <c r="E1434" s="16" t="s">
        <v>719</v>
      </c>
      <c r="F1434" s="16"/>
      <c r="G1434" s="8"/>
      <c r="H1434" s="8"/>
      <c r="I1434" s="8"/>
    </row>
    <row r="1435" spans="1:9" x14ac:dyDescent="0.25">
      <c r="A1435" s="3" t="s">
        <v>698</v>
      </c>
      <c r="B1435" s="4" t="s">
        <v>728</v>
      </c>
      <c r="C1435" s="4" t="s">
        <v>77</v>
      </c>
      <c r="D1435" s="16" t="s">
        <v>720</v>
      </c>
      <c r="E1435" s="16" t="s">
        <v>720</v>
      </c>
      <c r="F1435" s="16"/>
      <c r="G1435" s="8"/>
      <c r="H1435" s="8"/>
      <c r="I1435" s="8"/>
    </row>
    <row r="1436" spans="1:9" x14ac:dyDescent="0.25">
      <c r="A1436" s="3" t="s">
        <v>698</v>
      </c>
      <c r="B1436" s="4" t="s">
        <v>728</v>
      </c>
      <c r="C1436" s="4" t="s">
        <v>77</v>
      </c>
      <c r="D1436" s="16" t="s">
        <v>721</v>
      </c>
      <c r="E1436" s="16" t="s">
        <v>721</v>
      </c>
      <c r="F1436" s="16"/>
      <c r="G1436" s="8"/>
      <c r="H1436" s="8"/>
      <c r="I1436" s="8"/>
    </row>
    <row r="1437" spans="1:9" x14ac:dyDescent="0.25">
      <c r="A1437" s="3" t="s">
        <v>698</v>
      </c>
      <c r="B1437" s="4" t="s">
        <v>728</v>
      </c>
      <c r="C1437" s="4" t="s">
        <v>77</v>
      </c>
      <c r="D1437" s="16" t="s">
        <v>722</v>
      </c>
      <c r="E1437" s="16" t="s">
        <v>722</v>
      </c>
      <c r="F1437" s="16"/>
      <c r="G1437" s="8"/>
      <c r="H1437" s="8"/>
      <c r="I1437" s="8"/>
    </row>
    <row r="1438" spans="1:9" x14ac:dyDescent="0.25">
      <c r="A1438" s="3" t="s">
        <v>698</v>
      </c>
      <c r="B1438" s="4" t="s">
        <v>728</v>
      </c>
      <c r="C1438" s="4" t="s">
        <v>77</v>
      </c>
      <c r="D1438" s="16" t="s">
        <v>723</v>
      </c>
      <c r="E1438" s="16" t="s">
        <v>723</v>
      </c>
      <c r="F1438" s="16"/>
      <c r="G1438" s="8"/>
      <c r="H1438" s="8"/>
      <c r="I1438" s="8"/>
    </row>
    <row r="1439" spans="1:9" ht="30" x14ac:dyDescent="0.25">
      <c r="A1439" s="3" t="s">
        <v>698</v>
      </c>
      <c r="B1439" s="4" t="s">
        <v>728</v>
      </c>
      <c r="C1439" s="4" t="s">
        <v>95</v>
      </c>
      <c r="D1439" s="16" t="e">
        <f>I1439&amp;".txt"</f>
        <v>#REF!</v>
      </c>
      <c r="E1439" s="16" t="s">
        <v>81</v>
      </c>
      <c r="F1439" s="16"/>
      <c r="G1439" s="16" t="s">
        <v>809</v>
      </c>
      <c r="H1439" s="16" t="s">
        <v>702</v>
      </c>
      <c r="I1439" s="16" t="e">
        <f>VLOOKUP(A1439&amp;G1439&amp;H1439,#REF!,2,FALSE)</f>
        <v>#REF!</v>
      </c>
    </row>
    <row r="1440" spans="1:9" ht="30" x14ac:dyDescent="0.25">
      <c r="A1440" s="3" t="s">
        <v>698</v>
      </c>
      <c r="B1440" s="4" t="s">
        <v>728</v>
      </c>
      <c r="C1440" s="4" t="s">
        <v>96</v>
      </c>
      <c r="D1440" s="16" t="e">
        <f>I1440&amp;".txt"</f>
        <v>#REF!</v>
      </c>
      <c r="E1440" s="16" t="s">
        <v>81</v>
      </c>
      <c r="F1440" s="16" t="s">
        <v>724</v>
      </c>
      <c r="G1440" s="16" t="s">
        <v>809</v>
      </c>
      <c r="H1440" s="16" t="s">
        <v>811</v>
      </c>
      <c r="I1440" s="16" t="e">
        <f>VLOOKUP(A1440&amp;G1440&amp;H1440,#REF!,2,FALSE)</f>
        <v>#REF!</v>
      </c>
    </row>
    <row r="1441" spans="1:10" x14ac:dyDescent="0.25">
      <c r="A1441" s="8"/>
      <c r="B1441" s="8"/>
      <c r="C1441" s="8"/>
      <c r="D1441" s="8"/>
      <c r="E1441" s="8"/>
      <c r="F1441" s="8"/>
      <c r="G1441" s="8"/>
      <c r="H1441" s="8"/>
      <c r="I1441" s="8"/>
    </row>
    <row r="1442" spans="1:10" x14ac:dyDescent="0.25">
      <c r="G1442" s="8"/>
      <c r="H1442" s="8"/>
      <c r="I1442" s="8"/>
    </row>
    <row r="1443" spans="1:10" x14ac:dyDescent="0.25">
      <c r="F1443" s="8"/>
      <c r="G1443" s="8"/>
      <c r="H1443" s="8"/>
      <c r="I1443" s="8"/>
    </row>
    <row r="1444" spans="1:10" x14ac:dyDescent="0.25">
      <c r="A1444" s="67" t="s">
        <v>1146</v>
      </c>
      <c r="B1444" s="84" t="s">
        <v>1222</v>
      </c>
      <c r="C1444" s="78" t="s">
        <v>77</v>
      </c>
      <c r="D1444" s="77" t="s">
        <v>961</v>
      </c>
      <c r="E1444" s="78" t="s">
        <v>81</v>
      </c>
      <c r="F1444" s="8"/>
      <c r="G1444" s="8"/>
      <c r="H1444" s="8"/>
      <c r="I1444" s="8"/>
      <c r="J1444" s="8"/>
    </row>
    <row r="1445" spans="1:10" x14ac:dyDescent="0.25">
      <c r="A1445" s="67" t="s">
        <v>1146</v>
      </c>
      <c r="B1445" s="84" t="s">
        <v>1222</v>
      </c>
      <c r="C1445" s="78" t="s">
        <v>77</v>
      </c>
      <c r="D1445" s="77" t="s">
        <v>82</v>
      </c>
      <c r="E1445" s="78" t="s">
        <v>79</v>
      </c>
      <c r="F1445" s="8"/>
      <c r="G1445" s="8"/>
      <c r="H1445" s="8"/>
      <c r="I1445" s="8"/>
      <c r="J1445" s="8"/>
    </row>
    <row r="1446" spans="1:10" x14ac:dyDescent="0.25">
      <c r="A1446" s="67" t="s">
        <v>1146</v>
      </c>
      <c r="B1446" s="84" t="s">
        <v>1222</v>
      </c>
      <c r="C1446" s="78" t="s">
        <v>77</v>
      </c>
      <c r="D1446" s="77" t="s">
        <v>994</v>
      </c>
      <c r="E1446" s="77" t="s">
        <v>474</v>
      </c>
      <c r="F1446" s="8"/>
      <c r="G1446" s="8"/>
      <c r="H1446" s="8"/>
      <c r="I1446" s="8"/>
      <c r="J1446" s="8"/>
    </row>
    <row r="1447" spans="1:10" x14ac:dyDescent="0.25">
      <c r="A1447" s="67" t="s">
        <v>1146</v>
      </c>
      <c r="B1447" s="84" t="s">
        <v>1222</v>
      </c>
      <c r="C1447" s="78" t="s">
        <v>77</v>
      </c>
      <c r="D1447" s="77" t="s">
        <v>86</v>
      </c>
      <c r="E1447" s="78" t="s">
        <v>87</v>
      </c>
      <c r="F1447" s="8"/>
      <c r="G1447" s="8"/>
      <c r="H1447" s="8"/>
      <c r="I1447" s="8"/>
      <c r="J1447" s="8"/>
    </row>
    <row r="1448" spans="1:10" x14ac:dyDescent="0.25">
      <c r="A1448" s="67" t="s">
        <v>1146</v>
      </c>
      <c r="B1448" s="84" t="s">
        <v>1222</v>
      </c>
      <c r="C1448" s="78" t="s">
        <v>77</v>
      </c>
      <c r="D1448" s="77" t="s">
        <v>962</v>
      </c>
      <c r="E1448" s="78" t="s">
        <v>962</v>
      </c>
      <c r="F1448" s="8"/>
      <c r="G1448" s="8"/>
      <c r="H1448" s="8"/>
      <c r="I1448" s="8"/>
      <c r="J1448" s="8"/>
    </row>
    <row r="1449" spans="1:10" x14ac:dyDescent="0.25">
      <c r="A1449" s="67" t="s">
        <v>1146</v>
      </c>
      <c r="B1449" s="84" t="s">
        <v>1222</v>
      </c>
      <c r="C1449" s="78" t="s">
        <v>77</v>
      </c>
      <c r="D1449" s="77" t="s">
        <v>554</v>
      </c>
      <c r="E1449" s="78" t="s">
        <v>554</v>
      </c>
      <c r="F1449" s="8"/>
      <c r="G1449" s="8"/>
      <c r="H1449" s="8"/>
      <c r="I1449" s="8"/>
      <c r="J1449" s="8"/>
    </row>
    <row r="1450" spans="1:10" x14ac:dyDescent="0.25">
      <c r="A1450" s="67" t="s">
        <v>1146</v>
      </c>
      <c r="B1450" s="84" t="s">
        <v>1222</v>
      </c>
      <c r="C1450" s="78" t="s">
        <v>77</v>
      </c>
      <c r="D1450" s="77" t="s">
        <v>88</v>
      </c>
      <c r="E1450" s="78" t="s">
        <v>88</v>
      </c>
      <c r="F1450" s="8"/>
      <c r="G1450" s="8"/>
      <c r="H1450" s="8"/>
      <c r="I1450" s="8"/>
      <c r="J1450" s="8"/>
    </row>
    <row r="1451" spans="1:10" x14ac:dyDescent="0.25">
      <c r="A1451" s="67" t="s">
        <v>1146</v>
      </c>
      <c r="B1451" s="84" t="s">
        <v>1222</v>
      </c>
      <c r="C1451" s="78" t="s">
        <v>77</v>
      </c>
      <c r="D1451" s="77" t="s">
        <v>97</v>
      </c>
      <c r="E1451" s="78" t="s">
        <v>1214</v>
      </c>
      <c r="F1451" s="8"/>
      <c r="G1451" s="8"/>
      <c r="H1451" s="8"/>
      <c r="I1451" s="8"/>
      <c r="J1451" s="8"/>
    </row>
    <row r="1452" spans="1:10" x14ac:dyDescent="0.25">
      <c r="A1452" s="67" t="s">
        <v>1146</v>
      </c>
      <c r="B1452" s="84" t="s">
        <v>1222</v>
      </c>
      <c r="C1452" s="78" t="s">
        <v>77</v>
      </c>
      <c r="D1452" s="77" t="s">
        <v>99</v>
      </c>
      <c r="E1452" s="78" t="s">
        <v>99</v>
      </c>
      <c r="F1452" s="8"/>
      <c r="G1452" s="8"/>
      <c r="H1452" s="8"/>
      <c r="I1452" s="8"/>
      <c r="J1452" s="8"/>
    </row>
    <row r="1453" spans="1:10" x14ac:dyDescent="0.25">
      <c r="A1453" s="67" t="s">
        <v>1146</v>
      </c>
      <c r="B1453" s="84" t="s">
        <v>1222</v>
      </c>
      <c r="C1453" s="78" t="s">
        <v>77</v>
      </c>
      <c r="D1453" s="77" t="s">
        <v>25</v>
      </c>
      <c r="E1453" s="78" t="s">
        <v>333</v>
      </c>
      <c r="F1453" s="8"/>
      <c r="G1453" s="8"/>
      <c r="H1453" s="8"/>
      <c r="I1453" s="8"/>
      <c r="J1453" s="8"/>
    </row>
    <row r="1454" spans="1:10" x14ac:dyDescent="0.25">
      <c r="A1454" s="67" t="s">
        <v>1146</v>
      </c>
      <c r="B1454" s="84" t="s">
        <v>1222</v>
      </c>
      <c r="C1454" s="78" t="s">
        <v>77</v>
      </c>
      <c r="D1454" s="78" t="s">
        <v>1221</v>
      </c>
      <c r="E1454" s="78" t="s">
        <v>1221</v>
      </c>
      <c r="F1454" s="8"/>
      <c r="G1454" s="8"/>
      <c r="H1454" s="8"/>
      <c r="I1454" s="8"/>
      <c r="J1454" s="8"/>
    </row>
    <row r="1455" spans="1:10" x14ac:dyDescent="0.25">
      <c r="A1455" s="67" t="s">
        <v>1146</v>
      </c>
      <c r="B1455" s="84" t="s">
        <v>1222</v>
      </c>
      <c r="C1455" s="101" t="s">
        <v>77</v>
      </c>
      <c r="D1455" s="102" t="s">
        <v>1442</v>
      </c>
      <c r="E1455" s="102" t="s">
        <v>79</v>
      </c>
      <c r="F1455" s="101" t="s">
        <v>1234</v>
      </c>
      <c r="G1455" s="8"/>
      <c r="H1455" s="8"/>
      <c r="I1455" s="8"/>
    </row>
    <row r="1456" spans="1:10" x14ac:dyDescent="0.25">
      <c r="A1456" s="67" t="s">
        <v>1146</v>
      </c>
      <c r="B1456" s="84" t="s">
        <v>1222</v>
      </c>
      <c r="C1456" s="101" t="s">
        <v>77</v>
      </c>
      <c r="D1456" s="102" t="s">
        <v>1248</v>
      </c>
      <c r="E1456" s="102" t="s">
        <v>1248</v>
      </c>
      <c r="F1456" s="101" t="s">
        <v>1234</v>
      </c>
      <c r="G1456" s="8"/>
      <c r="H1456" s="8"/>
    </row>
    <row r="1457" spans="1:10" x14ac:dyDescent="0.25">
      <c r="A1457" s="67" t="s">
        <v>1146</v>
      </c>
      <c r="B1457" s="84" t="s">
        <v>1222</v>
      </c>
      <c r="C1457" s="101" t="s">
        <v>77</v>
      </c>
      <c r="D1457" s="102" t="s">
        <v>89</v>
      </c>
      <c r="E1457" s="102" t="s">
        <v>89</v>
      </c>
      <c r="F1457" s="101" t="s">
        <v>1234</v>
      </c>
      <c r="G1457" s="8"/>
      <c r="H1457" s="8"/>
      <c r="I1457" s="8"/>
    </row>
    <row r="1458" spans="1:10" x14ac:dyDescent="0.25">
      <c r="A1458" s="67" t="s">
        <v>1146</v>
      </c>
      <c r="B1458" s="84" t="s">
        <v>1222</v>
      </c>
      <c r="C1458" s="101" t="s">
        <v>77</v>
      </c>
      <c r="D1458" s="102" t="s">
        <v>90</v>
      </c>
      <c r="E1458" s="102" t="s">
        <v>90</v>
      </c>
      <c r="F1458" s="101" t="s">
        <v>1234</v>
      </c>
      <c r="G1458" s="8"/>
      <c r="H1458" s="8"/>
      <c r="I1458" s="8"/>
    </row>
    <row r="1459" spans="1:10" x14ac:dyDescent="0.25">
      <c r="A1459" s="67" t="s">
        <v>1146</v>
      </c>
      <c r="B1459" s="84" t="s">
        <v>1222</v>
      </c>
      <c r="C1459" s="101" t="s">
        <v>77</v>
      </c>
      <c r="D1459" s="102" t="s">
        <v>466</v>
      </c>
      <c r="E1459" s="102" t="s">
        <v>466</v>
      </c>
      <c r="F1459" s="101" t="s">
        <v>1234</v>
      </c>
      <c r="G1459" s="8"/>
      <c r="H1459" s="8"/>
      <c r="I1459" s="8"/>
    </row>
    <row r="1460" spans="1:10" x14ac:dyDescent="0.25">
      <c r="A1460" s="67" t="s">
        <v>1146</v>
      </c>
      <c r="B1460" s="84" t="s">
        <v>1222</v>
      </c>
      <c r="C1460" s="98" t="s">
        <v>77</v>
      </c>
      <c r="D1460" s="99" t="s">
        <v>1441</v>
      </c>
      <c r="E1460" s="99" t="s">
        <v>79</v>
      </c>
      <c r="F1460" s="98" t="s">
        <v>1233</v>
      </c>
      <c r="G1460" s="8"/>
      <c r="H1460" s="8"/>
      <c r="I1460" s="8"/>
    </row>
    <row r="1461" spans="1:10" x14ac:dyDescent="0.25">
      <c r="A1461" s="67" t="s">
        <v>1146</v>
      </c>
      <c r="B1461" s="84" t="s">
        <v>1222</v>
      </c>
      <c r="C1461" s="98" t="s">
        <v>77</v>
      </c>
      <c r="D1461" s="99" t="s">
        <v>1443</v>
      </c>
      <c r="E1461" s="99" t="s">
        <v>1443</v>
      </c>
      <c r="F1461" s="98" t="s">
        <v>1233</v>
      </c>
      <c r="G1461" s="8"/>
      <c r="H1461" s="8"/>
      <c r="I1461" s="8"/>
    </row>
    <row r="1462" spans="1:10" x14ac:dyDescent="0.25">
      <c r="A1462" s="67" t="s">
        <v>1146</v>
      </c>
      <c r="B1462" s="84" t="s">
        <v>1222</v>
      </c>
      <c r="C1462" s="98" t="s">
        <v>77</v>
      </c>
      <c r="D1462" s="100" t="s">
        <v>913</v>
      </c>
      <c r="E1462" s="99" t="s">
        <v>913</v>
      </c>
      <c r="F1462" s="98" t="s">
        <v>1233</v>
      </c>
      <c r="G1462" s="8"/>
      <c r="H1462" s="8"/>
      <c r="I1462" s="8"/>
    </row>
    <row r="1463" spans="1:10" x14ac:dyDescent="0.25">
      <c r="A1463" s="67" t="s">
        <v>1146</v>
      </c>
      <c r="B1463" s="84" t="s">
        <v>1222</v>
      </c>
      <c r="C1463" s="98" t="s">
        <v>77</v>
      </c>
      <c r="D1463" s="100" t="s">
        <v>1359</v>
      </c>
      <c r="E1463" s="99" t="s">
        <v>1359</v>
      </c>
      <c r="F1463" s="98" t="s">
        <v>1233</v>
      </c>
      <c r="G1463" s="8"/>
      <c r="H1463" s="8"/>
      <c r="I1463" s="8"/>
    </row>
    <row r="1464" spans="1:10" x14ac:dyDescent="0.25">
      <c r="A1464" s="67" t="s">
        <v>1146</v>
      </c>
      <c r="B1464" s="84" t="s">
        <v>1222</v>
      </c>
      <c r="C1464" s="74" t="s">
        <v>77</v>
      </c>
      <c r="D1464" s="73" t="s">
        <v>1225</v>
      </c>
      <c r="E1464" s="74" t="s">
        <v>87</v>
      </c>
      <c r="F1464" s="74" t="s">
        <v>1231</v>
      </c>
      <c r="G1464" s="8"/>
      <c r="H1464" s="8"/>
      <c r="I1464" s="8"/>
      <c r="J1464" s="8"/>
    </row>
    <row r="1465" spans="1:10" x14ac:dyDescent="0.25">
      <c r="A1465" s="67" t="s">
        <v>1146</v>
      </c>
      <c r="B1465" s="84" t="s">
        <v>1222</v>
      </c>
      <c r="C1465" s="74" t="s">
        <v>77</v>
      </c>
      <c r="D1465" s="75" t="s">
        <v>1226</v>
      </c>
      <c r="E1465" s="74" t="s">
        <v>87</v>
      </c>
      <c r="F1465" s="74" t="s">
        <v>1226</v>
      </c>
      <c r="G1465" s="8"/>
      <c r="H1465" s="8"/>
      <c r="I1465" s="8"/>
      <c r="J1465" s="8"/>
    </row>
    <row r="1466" spans="1:10" x14ac:dyDescent="0.25">
      <c r="A1466" s="67" t="s">
        <v>1146</v>
      </c>
      <c r="B1466" s="84" t="s">
        <v>1222</v>
      </c>
      <c r="C1466" s="74" t="s">
        <v>77</v>
      </c>
      <c r="D1466" s="76" t="s">
        <v>571</v>
      </c>
      <c r="E1466" s="74" t="s">
        <v>87</v>
      </c>
      <c r="F1466" s="74" t="s">
        <v>1232</v>
      </c>
      <c r="G1466" s="8"/>
      <c r="H1466" s="8"/>
      <c r="I1466" s="8"/>
      <c r="J1466" s="8"/>
    </row>
    <row r="1467" spans="1:10" ht="30" x14ac:dyDescent="0.25">
      <c r="A1467" s="67" t="s">
        <v>1146</v>
      </c>
      <c r="B1467" s="84" t="s">
        <v>1222</v>
      </c>
      <c r="C1467" s="68" t="s">
        <v>95</v>
      </c>
      <c r="D1467" s="68" t="str">
        <f t="shared" ref="D1467:D1472" si="8">I1467&amp;".txt"</f>
        <v>ratm-export.txt</v>
      </c>
      <c r="E1467" s="68" t="s">
        <v>81</v>
      </c>
      <c r="F1467" s="68"/>
      <c r="G1467" s="68" t="s">
        <v>29</v>
      </c>
      <c r="H1467" s="68" t="s">
        <v>59</v>
      </c>
      <c r="I1467" s="68" t="str">
        <f>VLOOKUP(A1467&amp;G1467&amp;H1467,[1]Views!$E$1:$F$145,2,FALSE)</f>
        <v>ratm-export</v>
      </c>
    </row>
    <row r="1468" spans="1:10" ht="30" x14ac:dyDescent="0.25">
      <c r="A1468" s="67" t="s">
        <v>1146</v>
      </c>
      <c r="B1468" s="84" t="s">
        <v>1222</v>
      </c>
      <c r="C1468" s="68" t="s">
        <v>96</v>
      </c>
      <c r="D1468" s="68" t="str">
        <f t="shared" si="8"/>
        <v>rvtm-export.txt</v>
      </c>
      <c r="E1468" s="72" t="s">
        <v>81</v>
      </c>
      <c r="F1468" s="68" t="s">
        <v>1234</v>
      </c>
      <c r="G1468" s="68" t="s">
        <v>7</v>
      </c>
      <c r="H1468" s="68" t="s">
        <v>1219</v>
      </c>
      <c r="I1468" s="68" t="str">
        <f>VLOOKUP(A1468&amp;G1468&amp;H1468,[1]Views!$E$1:$F$145,2,FALSE)</f>
        <v>rvtm-export</v>
      </c>
    </row>
    <row r="1469" spans="1:10" x14ac:dyDescent="0.25">
      <c r="A1469" s="67" t="s">
        <v>1146</v>
      </c>
      <c r="B1469" s="84" t="s">
        <v>1222</v>
      </c>
      <c r="C1469" s="68" t="s">
        <v>96</v>
      </c>
      <c r="D1469" s="68" t="str">
        <f t="shared" si="8"/>
        <v>rvtm-process-export.txt</v>
      </c>
      <c r="E1469" s="72" t="s">
        <v>81</v>
      </c>
      <c r="F1469" s="68" t="s">
        <v>1233</v>
      </c>
      <c r="G1469" s="68" t="s">
        <v>1216</v>
      </c>
      <c r="H1469" s="68" t="s">
        <v>1217</v>
      </c>
      <c r="I1469" s="68" t="str">
        <f>VLOOKUP(A1469&amp;G1469&amp;H1469,[2]Views!$E$1:$F$143,2,FALSE)</f>
        <v>rvtm-process-export</v>
      </c>
    </row>
    <row r="1470" spans="1:10" ht="30" x14ac:dyDescent="0.25">
      <c r="A1470" s="67" t="s">
        <v>1146</v>
      </c>
      <c r="B1470" s="84" t="s">
        <v>1222</v>
      </c>
      <c r="C1470" s="68" t="s">
        <v>96</v>
      </c>
      <c r="D1470" s="68" t="str">
        <f t="shared" si="8"/>
        <v>ratm-export.txt</v>
      </c>
      <c r="E1470" s="68" t="s">
        <v>81</v>
      </c>
      <c r="F1470" s="68" t="s">
        <v>1231</v>
      </c>
      <c r="G1470" s="68" t="s">
        <v>29</v>
      </c>
      <c r="H1470" s="68" t="s">
        <v>59</v>
      </c>
      <c r="I1470" s="68" t="str">
        <f>VLOOKUP(A1470&amp;G1470&amp;H1470,[1]Views!$E$1:$F$145,2,FALSE)</f>
        <v>ratm-export</v>
      </c>
    </row>
    <row r="1471" spans="1:10" ht="30" x14ac:dyDescent="0.25">
      <c r="A1471" s="67" t="s">
        <v>1146</v>
      </c>
      <c r="B1471" s="84" t="s">
        <v>1222</v>
      </c>
      <c r="C1471" s="68" t="s">
        <v>96</v>
      </c>
      <c r="D1471" s="68" t="str">
        <f t="shared" si="8"/>
        <v>control-register-export.txt</v>
      </c>
      <c r="E1471" s="68" t="s">
        <v>81</v>
      </c>
      <c r="F1471" s="68" t="s">
        <v>1226</v>
      </c>
      <c r="G1471" s="68" t="s">
        <v>9</v>
      </c>
      <c r="H1471" s="68" t="s">
        <v>9</v>
      </c>
      <c r="I1471" s="68" t="str">
        <f>VLOOKUP(A1471&amp;G1471&amp;H1471,[1]Views!$E$1:$F$145,2,FALSE)</f>
        <v>control-register-export</v>
      </c>
    </row>
    <row r="1472" spans="1:10" x14ac:dyDescent="0.25">
      <c r="A1472" s="67" t="s">
        <v>1146</v>
      </c>
      <c r="B1472" s="84" t="s">
        <v>1222</v>
      </c>
      <c r="C1472" s="68" t="s">
        <v>96</v>
      </c>
      <c r="D1472" s="68" t="str">
        <f t="shared" si="8"/>
        <v>adc-register-export.txt</v>
      </c>
      <c r="E1472" s="68" t="s">
        <v>81</v>
      </c>
      <c r="F1472" s="68" t="s">
        <v>1232</v>
      </c>
      <c r="G1472" s="68" t="s">
        <v>339</v>
      </c>
      <c r="H1472" s="68" t="s">
        <v>339</v>
      </c>
      <c r="I1472" s="68" t="str">
        <f>VLOOKUP(A1472&amp;G1472&amp;H1472,[1]Views!$E$1:$F$145,2,FALSE)</f>
        <v>adc-register-export</v>
      </c>
    </row>
    <row r="1473" spans="1:10" x14ac:dyDescent="0.25">
      <c r="G1473" s="8"/>
      <c r="H1473" s="8"/>
      <c r="I1473" s="8"/>
    </row>
    <row r="1474" spans="1:10" x14ac:dyDescent="0.25">
      <c r="A1474" s="67" t="s">
        <v>1146</v>
      </c>
      <c r="B1474" s="46" t="s">
        <v>29</v>
      </c>
      <c r="C1474" s="78" t="s">
        <v>77</v>
      </c>
      <c r="D1474" s="77" t="s">
        <v>477</v>
      </c>
      <c r="E1474" s="78" t="s">
        <v>477</v>
      </c>
      <c r="F1474" s="8"/>
      <c r="G1474" s="8"/>
      <c r="H1474" s="8"/>
      <c r="I1474" s="8"/>
      <c r="J1474" s="8"/>
    </row>
    <row r="1475" spans="1:10" x14ac:dyDescent="0.25">
      <c r="A1475" s="67" t="s">
        <v>1146</v>
      </c>
      <c r="B1475" s="46" t="s">
        <v>29</v>
      </c>
      <c r="C1475" s="78" t="s">
        <v>77</v>
      </c>
      <c r="D1475" s="77" t="s">
        <v>961</v>
      </c>
      <c r="E1475" s="78" t="s">
        <v>81</v>
      </c>
      <c r="F1475" s="8"/>
      <c r="G1475" s="8"/>
      <c r="H1475" s="8"/>
      <c r="I1475" s="8"/>
      <c r="J1475" s="8"/>
    </row>
    <row r="1476" spans="1:10" x14ac:dyDescent="0.25">
      <c r="A1476" s="67" t="s">
        <v>1146</v>
      </c>
      <c r="B1476" s="46" t="s">
        <v>29</v>
      </c>
      <c r="C1476" s="78" t="s">
        <v>77</v>
      </c>
      <c r="D1476" s="77" t="s">
        <v>82</v>
      </c>
      <c r="E1476" s="78" t="s">
        <v>79</v>
      </c>
      <c r="F1476" s="8"/>
      <c r="G1476" s="8"/>
      <c r="H1476" s="8"/>
      <c r="I1476" s="8"/>
      <c r="J1476" s="8"/>
    </row>
    <row r="1477" spans="1:10" x14ac:dyDescent="0.25">
      <c r="A1477" s="67" t="s">
        <v>1146</v>
      </c>
      <c r="B1477" s="46" t="s">
        <v>29</v>
      </c>
      <c r="C1477" s="81" t="s">
        <v>77</v>
      </c>
      <c r="D1477" s="80" t="s">
        <v>85</v>
      </c>
      <c r="E1477" s="81" t="s">
        <v>1215</v>
      </c>
      <c r="F1477" s="8"/>
      <c r="G1477" s="8"/>
      <c r="H1477" s="8"/>
      <c r="I1477" s="8"/>
      <c r="J1477" s="8"/>
    </row>
    <row r="1478" spans="1:10" x14ac:dyDescent="0.25">
      <c r="A1478" s="67" t="s">
        <v>1146</v>
      </c>
      <c r="B1478" s="46" t="s">
        <v>29</v>
      </c>
      <c r="C1478" s="78" t="s">
        <v>77</v>
      </c>
      <c r="D1478" s="77" t="s">
        <v>86</v>
      </c>
      <c r="E1478" s="78" t="s">
        <v>87</v>
      </c>
      <c r="F1478" s="8"/>
      <c r="G1478" s="8"/>
      <c r="H1478" s="8"/>
      <c r="I1478" s="8"/>
      <c r="J1478" s="8"/>
    </row>
    <row r="1479" spans="1:10" x14ac:dyDescent="0.25">
      <c r="A1479" s="67" t="s">
        <v>1146</v>
      </c>
      <c r="B1479" s="46" t="s">
        <v>29</v>
      </c>
      <c r="C1479" s="78" t="s">
        <v>77</v>
      </c>
      <c r="D1479" s="77" t="s">
        <v>88</v>
      </c>
      <c r="E1479" s="78" t="s">
        <v>1224</v>
      </c>
      <c r="F1479" s="8"/>
      <c r="G1479" s="8"/>
      <c r="H1479" s="8"/>
      <c r="I1479" s="8"/>
      <c r="J1479" s="8"/>
    </row>
    <row r="1480" spans="1:10" x14ac:dyDescent="0.25">
      <c r="A1480" s="67" t="s">
        <v>1146</v>
      </c>
      <c r="B1480" s="46" t="s">
        <v>29</v>
      </c>
      <c r="C1480" s="78" t="s">
        <v>77</v>
      </c>
      <c r="D1480" s="77" t="s">
        <v>97</v>
      </c>
      <c r="E1480" s="78" t="s">
        <v>1214</v>
      </c>
      <c r="F1480" s="8"/>
      <c r="G1480" s="8"/>
      <c r="H1480" s="8"/>
      <c r="I1480" s="8"/>
      <c r="J1480" s="8"/>
    </row>
    <row r="1481" spans="1:10" x14ac:dyDescent="0.25">
      <c r="A1481" s="67" t="s">
        <v>1146</v>
      </c>
      <c r="B1481" s="46" t="s">
        <v>29</v>
      </c>
      <c r="C1481" s="78" t="s">
        <v>77</v>
      </c>
      <c r="D1481" s="77" t="s">
        <v>99</v>
      </c>
      <c r="E1481" s="78" t="s">
        <v>99</v>
      </c>
      <c r="F1481" s="8"/>
      <c r="G1481" s="8"/>
      <c r="H1481" s="8"/>
      <c r="I1481" s="8"/>
      <c r="J1481" s="8"/>
    </row>
    <row r="1482" spans="1:10" x14ac:dyDescent="0.25">
      <c r="A1482" s="67" t="s">
        <v>1146</v>
      </c>
      <c r="B1482" s="46" t="s">
        <v>29</v>
      </c>
      <c r="C1482" s="81" t="s">
        <v>77</v>
      </c>
      <c r="D1482" s="81" t="s">
        <v>840</v>
      </c>
      <c r="E1482" s="81" t="s">
        <v>1215</v>
      </c>
      <c r="F1482" s="8"/>
      <c r="G1482" s="8"/>
      <c r="H1482" s="8"/>
      <c r="I1482" s="8"/>
      <c r="J1482" s="8"/>
    </row>
    <row r="1483" spans="1:10" x14ac:dyDescent="0.25">
      <c r="A1483" s="67" t="s">
        <v>1146</v>
      </c>
      <c r="B1483" s="46" t="s">
        <v>29</v>
      </c>
      <c r="C1483" s="81" t="s">
        <v>77</v>
      </c>
      <c r="D1483" s="80" t="s">
        <v>102</v>
      </c>
      <c r="E1483" s="81" t="s">
        <v>1215</v>
      </c>
      <c r="F1483" s="8"/>
      <c r="G1483" s="8"/>
      <c r="H1483" s="8"/>
      <c r="I1483" s="8"/>
      <c r="J1483" s="8"/>
    </row>
    <row r="1484" spans="1:10" x14ac:dyDescent="0.25">
      <c r="A1484" s="67" t="s">
        <v>1146</v>
      </c>
      <c r="B1484" s="46" t="s">
        <v>29</v>
      </c>
      <c r="C1484" s="78" t="s">
        <v>77</v>
      </c>
      <c r="D1484" s="77" t="s">
        <v>25</v>
      </c>
      <c r="E1484" s="78" t="s">
        <v>333</v>
      </c>
      <c r="F1484" s="8"/>
      <c r="G1484" s="8"/>
      <c r="H1484" s="8"/>
      <c r="I1484" s="8"/>
      <c r="J1484" s="8"/>
    </row>
    <row r="1485" spans="1:10" x14ac:dyDescent="0.25">
      <c r="A1485" s="67" t="s">
        <v>1146</v>
      </c>
      <c r="B1485" s="46" t="s">
        <v>29</v>
      </c>
      <c r="C1485" s="81" t="s">
        <v>77</v>
      </c>
      <c r="D1485" s="80" t="s">
        <v>1203</v>
      </c>
      <c r="E1485" s="81" t="s">
        <v>1215</v>
      </c>
      <c r="F1485" s="8"/>
      <c r="G1485" s="8"/>
      <c r="H1485" s="8"/>
      <c r="I1485" s="8"/>
      <c r="J1485" s="8"/>
    </row>
    <row r="1486" spans="1:10" x14ac:dyDescent="0.25">
      <c r="A1486" s="67" t="s">
        <v>1146</v>
      </c>
      <c r="B1486" s="46" t="s">
        <v>29</v>
      </c>
      <c r="C1486" s="74" t="s">
        <v>77</v>
      </c>
      <c r="D1486" s="82" t="s">
        <v>78</v>
      </c>
      <c r="E1486" s="74" t="s">
        <v>79</v>
      </c>
      <c r="F1486" s="74" t="s">
        <v>1234</v>
      </c>
      <c r="G1486" s="8"/>
      <c r="H1486" s="8"/>
      <c r="I1486" s="8"/>
      <c r="J1486" s="8"/>
    </row>
    <row r="1487" spans="1:10" x14ac:dyDescent="0.25">
      <c r="A1487" s="67" t="s">
        <v>1146</v>
      </c>
      <c r="B1487" s="46" t="s">
        <v>29</v>
      </c>
      <c r="C1487" s="74" t="s">
        <v>77</v>
      </c>
      <c r="D1487" s="82" t="s">
        <v>89</v>
      </c>
      <c r="E1487" s="82" t="s">
        <v>89</v>
      </c>
      <c r="F1487" s="74" t="s">
        <v>1234</v>
      </c>
      <c r="G1487" s="8"/>
      <c r="H1487" s="8"/>
      <c r="I1487" s="8"/>
      <c r="J1487" s="8"/>
    </row>
    <row r="1488" spans="1:10" x14ac:dyDescent="0.25">
      <c r="A1488" s="67" t="s">
        <v>1146</v>
      </c>
      <c r="B1488" s="46" t="s">
        <v>29</v>
      </c>
      <c r="C1488" s="74" t="s">
        <v>77</v>
      </c>
      <c r="D1488" s="82" t="s">
        <v>90</v>
      </c>
      <c r="E1488" s="82" t="s">
        <v>90</v>
      </c>
      <c r="F1488" s="74" t="s">
        <v>1234</v>
      </c>
      <c r="G1488" s="8"/>
      <c r="H1488" s="8"/>
      <c r="I1488" s="8"/>
      <c r="J1488" s="8"/>
    </row>
    <row r="1489" spans="1:10" x14ac:dyDescent="0.25">
      <c r="A1489" s="67" t="s">
        <v>1146</v>
      </c>
      <c r="B1489" s="46" t="s">
        <v>29</v>
      </c>
      <c r="C1489" s="74" t="s">
        <v>77</v>
      </c>
      <c r="D1489" s="82" t="s">
        <v>93</v>
      </c>
      <c r="E1489" s="82" t="s">
        <v>466</v>
      </c>
      <c r="F1489" s="74" t="s">
        <v>1234</v>
      </c>
      <c r="G1489" s="8"/>
      <c r="H1489" s="8"/>
      <c r="I1489" s="8"/>
      <c r="J1489" s="8"/>
    </row>
    <row r="1490" spans="1:10" x14ac:dyDescent="0.25">
      <c r="A1490" s="67" t="s">
        <v>1146</v>
      </c>
      <c r="B1490" s="46" t="s">
        <v>29</v>
      </c>
      <c r="C1490" s="81" t="s">
        <v>77</v>
      </c>
      <c r="D1490" s="80" t="s">
        <v>94</v>
      </c>
      <c r="E1490" s="81" t="s">
        <v>1215</v>
      </c>
      <c r="F1490" s="8"/>
      <c r="G1490" s="8"/>
      <c r="H1490" s="8"/>
      <c r="I1490" s="8"/>
      <c r="J1490" s="8"/>
    </row>
    <row r="1491" spans="1:10" x14ac:dyDescent="0.25">
      <c r="A1491" s="67" t="s">
        <v>1146</v>
      </c>
      <c r="B1491" s="46" t="s">
        <v>29</v>
      </c>
      <c r="C1491" s="74" t="s">
        <v>77</v>
      </c>
      <c r="D1491" s="82" t="s">
        <v>912</v>
      </c>
      <c r="E1491" s="74" t="s">
        <v>79</v>
      </c>
      <c r="F1491" s="74" t="s">
        <v>1233</v>
      </c>
      <c r="G1491" s="8"/>
      <c r="H1491" s="8"/>
      <c r="I1491" s="8"/>
      <c r="J1491" s="8"/>
    </row>
    <row r="1492" spans="1:10" x14ac:dyDescent="0.25">
      <c r="A1492" s="67" t="s">
        <v>1146</v>
      </c>
      <c r="B1492" s="46" t="s">
        <v>29</v>
      </c>
      <c r="C1492" s="74" t="s">
        <v>77</v>
      </c>
      <c r="D1492" s="82" t="s">
        <v>913</v>
      </c>
      <c r="E1492" s="74" t="s">
        <v>913</v>
      </c>
      <c r="F1492" s="74" t="s">
        <v>1233</v>
      </c>
      <c r="G1492" s="8"/>
      <c r="H1492" s="8"/>
      <c r="I1492" s="8"/>
      <c r="J1492" s="8"/>
    </row>
    <row r="1493" spans="1:10" x14ac:dyDescent="0.25">
      <c r="A1493" s="67" t="s">
        <v>1146</v>
      </c>
      <c r="B1493" s="46" t="s">
        <v>29</v>
      </c>
      <c r="C1493" s="81" t="s">
        <v>77</v>
      </c>
      <c r="D1493" s="80" t="s">
        <v>914</v>
      </c>
      <c r="E1493" s="81" t="s">
        <v>1215</v>
      </c>
      <c r="F1493" s="8"/>
      <c r="G1493" s="8"/>
      <c r="H1493" s="8"/>
      <c r="I1493" s="8"/>
      <c r="J1493" s="8"/>
    </row>
    <row r="1494" spans="1:10" x14ac:dyDescent="0.25">
      <c r="A1494" s="67" t="s">
        <v>1146</v>
      </c>
      <c r="B1494" s="46" t="s">
        <v>29</v>
      </c>
      <c r="C1494" s="81" t="s">
        <v>77</v>
      </c>
      <c r="D1494" s="80" t="s">
        <v>801</v>
      </c>
      <c r="E1494" s="81" t="s">
        <v>1215</v>
      </c>
      <c r="F1494" s="8"/>
      <c r="G1494" s="8"/>
      <c r="H1494" s="8"/>
      <c r="I1494" s="8"/>
      <c r="J1494" s="8"/>
    </row>
    <row r="1495" spans="1:10" x14ac:dyDescent="0.25">
      <c r="A1495" s="67" t="s">
        <v>1146</v>
      </c>
      <c r="B1495" s="46" t="s">
        <v>29</v>
      </c>
      <c r="C1495" s="78" t="s">
        <v>77</v>
      </c>
      <c r="D1495" s="77" t="s">
        <v>105</v>
      </c>
      <c r="E1495" s="78" t="s">
        <v>1221</v>
      </c>
      <c r="F1495" s="8"/>
      <c r="G1495" s="8"/>
      <c r="H1495" s="8"/>
      <c r="I1495" s="8"/>
      <c r="J1495" s="8"/>
    </row>
    <row r="1496" spans="1:10" x14ac:dyDescent="0.25">
      <c r="A1496" s="67" t="s">
        <v>1146</v>
      </c>
      <c r="B1496" s="46" t="s">
        <v>29</v>
      </c>
      <c r="C1496" s="68" t="s">
        <v>77</v>
      </c>
      <c r="D1496" s="69" t="s">
        <v>749</v>
      </c>
      <c r="E1496" s="68" t="s">
        <v>203</v>
      </c>
      <c r="F1496" s="8"/>
      <c r="G1496" s="8"/>
      <c r="H1496" s="8"/>
      <c r="I1496" s="8"/>
      <c r="J1496" s="8"/>
    </row>
    <row r="1497" spans="1:10" x14ac:dyDescent="0.25">
      <c r="A1497" s="67" t="s">
        <v>1146</v>
      </c>
      <c r="B1497" s="46" t="s">
        <v>29</v>
      </c>
      <c r="C1497" s="68" t="s">
        <v>77</v>
      </c>
      <c r="D1497" s="69" t="s">
        <v>729</v>
      </c>
      <c r="E1497" s="68" t="s">
        <v>203</v>
      </c>
      <c r="F1497" s="8"/>
      <c r="G1497" s="8"/>
      <c r="H1497" s="8"/>
      <c r="I1497" s="8"/>
    </row>
    <row r="1498" spans="1:10" x14ac:dyDescent="0.25">
      <c r="A1498" s="67" t="s">
        <v>1146</v>
      </c>
      <c r="B1498" s="46" t="s">
        <v>29</v>
      </c>
      <c r="C1498" s="68" t="s">
        <v>77</v>
      </c>
      <c r="D1498" s="69" t="s">
        <v>750</v>
      </c>
      <c r="E1498" s="68" t="s">
        <v>203</v>
      </c>
      <c r="F1498" s="8"/>
      <c r="G1498" s="8"/>
      <c r="H1498" s="8"/>
      <c r="I1498" s="8"/>
    </row>
    <row r="1499" spans="1:10" x14ac:dyDescent="0.25">
      <c r="A1499" s="67" t="s">
        <v>1146</v>
      </c>
      <c r="B1499" s="46" t="s">
        <v>29</v>
      </c>
      <c r="C1499" s="68" t="s">
        <v>77</v>
      </c>
      <c r="D1499" s="69" t="s">
        <v>1031</v>
      </c>
      <c r="E1499" s="68" t="s">
        <v>203</v>
      </c>
      <c r="F1499" s="8"/>
      <c r="G1499" s="8"/>
      <c r="H1499" s="8"/>
      <c r="I1499" s="8"/>
    </row>
    <row r="1500" spans="1:10" x14ac:dyDescent="0.25">
      <c r="A1500" s="67" t="s">
        <v>1146</v>
      </c>
      <c r="B1500" s="46" t="s">
        <v>29</v>
      </c>
      <c r="C1500" s="68" t="s">
        <v>77</v>
      </c>
      <c r="D1500" s="69" t="s">
        <v>1032</v>
      </c>
      <c r="E1500" s="68" t="s">
        <v>203</v>
      </c>
      <c r="F1500" s="8"/>
      <c r="G1500" s="8"/>
      <c r="H1500" s="8"/>
      <c r="I1500" s="8"/>
    </row>
    <row r="1501" spans="1:10" x14ac:dyDescent="0.25">
      <c r="A1501" s="67" t="s">
        <v>1146</v>
      </c>
      <c r="B1501" s="46" t="s">
        <v>29</v>
      </c>
      <c r="C1501" s="68" t="s">
        <v>77</v>
      </c>
      <c r="D1501" s="69" t="s">
        <v>751</v>
      </c>
      <c r="E1501" s="68" t="s">
        <v>203</v>
      </c>
      <c r="F1501" s="8"/>
      <c r="G1501" s="8"/>
      <c r="H1501" s="8"/>
      <c r="I1501" s="8"/>
    </row>
    <row r="1502" spans="1:10" x14ac:dyDescent="0.25">
      <c r="A1502" s="67" t="s">
        <v>1146</v>
      </c>
      <c r="B1502" s="46" t="s">
        <v>29</v>
      </c>
      <c r="C1502" s="68" t="s">
        <v>77</v>
      </c>
      <c r="D1502" s="69" t="s">
        <v>752</v>
      </c>
      <c r="E1502" s="68" t="s">
        <v>203</v>
      </c>
      <c r="F1502" s="8"/>
      <c r="G1502" s="8"/>
      <c r="H1502" s="8"/>
      <c r="I1502" s="8"/>
    </row>
    <row r="1503" spans="1:10" x14ac:dyDescent="0.25">
      <c r="A1503" s="67" t="s">
        <v>1146</v>
      </c>
      <c r="B1503" s="46" t="s">
        <v>29</v>
      </c>
      <c r="C1503" s="68" t="s">
        <v>77</v>
      </c>
      <c r="D1503" s="69" t="s">
        <v>733</v>
      </c>
      <c r="E1503" s="68" t="s">
        <v>203</v>
      </c>
      <c r="F1503" s="8"/>
      <c r="G1503" s="8"/>
      <c r="H1503" s="8"/>
      <c r="I1503" s="8"/>
    </row>
    <row r="1504" spans="1:10" x14ac:dyDescent="0.25">
      <c r="A1504" s="67" t="s">
        <v>1146</v>
      </c>
      <c r="B1504" s="46" t="s">
        <v>29</v>
      </c>
      <c r="C1504" s="68" t="s">
        <v>77</v>
      </c>
      <c r="D1504" s="69" t="s">
        <v>1033</v>
      </c>
      <c r="E1504" s="68" t="s">
        <v>203</v>
      </c>
      <c r="F1504" s="8"/>
      <c r="G1504" s="8"/>
      <c r="H1504" s="8"/>
      <c r="I1504" s="8"/>
    </row>
    <row r="1505" spans="1:9" x14ac:dyDescent="0.25">
      <c r="A1505" s="67" t="s">
        <v>1146</v>
      </c>
      <c r="B1505" s="46" t="s">
        <v>29</v>
      </c>
      <c r="C1505" s="68" t="s">
        <v>77</v>
      </c>
      <c r="D1505" s="69" t="s">
        <v>753</v>
      </c>
      <c r="E1505" s="68" t="s">
        <v>203</v>
      </c>
      <c r="F1505" s="8"/>
      <c r="G1505" s="8"/>
      <c r="H1505" s="8"/>
      <c r="I1505" s="8"/>
    </row>
    <row r="1506" spans="1:9" x14ac:dyDescent="0.25">
      <c r="A1506" s="67" t="s">
        <v>1146</v>
      </c>
      <c r="B1506" s="46" t="s">
        <v>29</v>
      </c>
      <c r="C1506" s="68" t="s">
        <v>77</v>
      </c>
      <c r="D1506" s="69" t="s">
        <v>754</v>
      </c>
      <c r="E1506" s="68" t="s">
        <v>203</v>
      </c>
      <c r="F1506" s="8"/>
      <c r="G1506" s="8"/>
      <c r="H1506" s="8"/>
      <c r="I1506" s="8"/>
    </row>
    <row r="1507" spans="1:9" x14ac:dyDescent="0.25">
      <c r="A1507" s="67" t="s">
        <v>1146</v>
      </c>
      <c r="B1507" s="46" t="s">
        <v>29</v>
      </c>
      <c r="C1507" s="68" t="s">
        <v>77</v>
      </c>
      <c r="D1507" s="69" t="s">
        <v>878</v>
      </c>
      <c r="E1507" s="68" t="s">
        <v>203</v>
      </c>
      <c r="F1507" s="8"/>
      <c r="G1507" s="8"/>
      <c r="H1507" s="8"/>
      <c r="I1507" s="8"/>
    </row>
    <row r="1508" spans="1:9" x14ac:dyDescent="0.25">
      <c r="A1508" s="67" t="s">
        <v>1146</v>
      </c>
      <c r="B1508" s="46" t="s">
        <v>29</v>
      </c>
      <c r="C1508" s="68" t="s">
        <v>77</v>
      </c>
      <c r="D1508" s="69" t="s">
        <v>946</v>
      </c>
      <c r="E1508" s="68" t="s">
        <v>203</v>
      </c>
      <c r="F1508" s="8"/>
      <c r="G1508" s="8"/>
      <c r="H1508" s="8"/>
      <c r="I1508" s="8"/>
    </row>
    <row r="1509" spans="1:9" x14ac:dyDescent="0.25">
      <c r="A1509" s="67" t="s">
        <v>1146</v>
      </c>
      <c r="B1509" s="46" t="s">
        <v>29</v>
      </c>
      <c r="C1509" s="68" t="s">
        <v>77</v>
      </c>
      <c r="D1509" s="69" t="s">
        <v>1132</v>
      </c>
      <c r="E1509" s="68" t="s">
        <v>203</v>
      </c>
      <c r="F1509" s="8"/>
      <c r="G1509" s="8"/>
      <c r="H1509" s="8"/>
      <c r="I1509" s="8"/>
    </row>
    <row r="1510" spans="1:9" x14ac:dyDescent="0.25">
      <c r="A1510" s="67" t="s">
        <v>1146</v>
      </c>
      <c r="B1510" s="46" t="s">
        <v>29</v>
      </c>
      <c r="C1510" s="68" t="s">
        <v>77</v>
      </c>
      <c r="D1510" s="69" t="s">
        <v>1133</v>
      </c>
      <c r="E1510" s="68" t="s">
        <v>203</v>
      </c>
      <c r="F1510" s="8"/>
      <c r="G1510" s="8"/>
      <c r="H1510" s="8"/>
      <c r="I1510" s="8"/>
    </row>
    <row r="1511" spans="1:9" x14ac:dyDescent="0.25">
      <c r="A1511" s="67" t="s">
        <v>1146</v>
      </c>
      <c r="B1511" s="46" t="s">
        <v>29</v>
      </c>
      <c r="C1511" s="68" t="s">
        <v>77</v>
      </c>
      <c r="D1511" s="69" t="s">
        <v>1134</v>
      </c>
      <c r="E1511" s="68" t="s">
        <v>203</v>
      </c>
      <c r="F1511" s="8"/>
      <c r="G1511" s="8"/>
      <c r="H1511" s="8"/>
      <c r="I1511" s="8"/>
    </row>
    <row r="1512" spans="1:9" x14ac:dyDescent="0.25">
      <c r="A1512" s="67" t="s">
        <v>1146</v>
      </c>
      <c r="B1512" s="46" t="s">
        <v>29</v>
      </c>
      <c r="C1512" s="68" t="s">
        <v>77</v>
      </c>
      <c r="D1512" s="69" t="s">
        <v>1135</v>
      </c>
      <c r="E1512" s="68" t="s">
        <v>203</v>
      </c>
      <c r="F1512" s="8"/>
      <c r="G1512" s="8"/>
      <c r="H1512" s="8"/>
      <c r="I1512" s="8"/>
    </row>
    <row r="1513" spans="1:9" x14ac:dyDescent="0.25">
      <c r="A1513" s="67" t="s">
        <v>1146</v>
      </c>
      <c r="B1513" s="46" t="s">
        <v>29</v>
      </c>
      <c r="C1513" s="71" t="s">
        <v>77</v>
      </c>
      <c r="D1513" s="70" t="s">
        <v>1136</v>
      </c>
      <c r="E1513" s="71" t="s">
        <v>203</v>
      </c>
      <c r="F1513" s="8"/>
      <c r="G1513" s="8"/>
      <c r="H1513" s="8"/>
      <c r="I1513" s="8"/>
    </row>
    <row r="1514" spans="1:9" ht="30" x14ac:dyDescent="0.25">
      <c r="A1514" s="67" t="s">
        <v>1146</v>
      </c>
      <c r="B1514" s="46" t="s">
        <v>29</v>
      </c>
      <c r="C1514" s="68" t="s">
        <v>95</v>
      </c>
      <c r="D1514" s="68" t="str">
        <f>I1514&amp;".txt"</f>
        <v>ratm-export.txt</v>
      </c>
      <c r="E1514" s="68" t="s">
        <v>81</v>
      </c>
      <c r="F1514" s="68"/>
      <c r="G1514" s="68" t="s">
        <v>29</v>
      </c>
      <c r="H1514" s="68" t="s">
        <v>59</v>
      </c>
      <c r="I1514" s="68" t="str">
        <f>VLOOKUP(A1514&amp;G1514&amp;H1514,[1]Views!$E$1:$F$145,2,FALSE)</f>
        <v>ratm-export</v>
      </c>
    </row>
    <row r="1515" spans="1:9" ht="30" x14ac:dyDescent="0.25">
      <c r="A1515" s="67" t="s">
        <v>1146</v>
      </c>
      <c r="B1515" s="46" t="s">
        <v>29</v>
      </c>
      <c r="C1515" s="68" t="s">
        <v>96</v>
      </c>
      <c r="D1515" s="68" t="str">
        <f>I1515&amp;".txt"</f>
        <v>rvtm-export.txt</v>
      </c>
      <c r="E1515" s="68" t="s">
        <v>81</v>
      </c>
      <c r="F1515" s="68" t="s">
        <v>1234</v>
      </c>
      <c r="G1515" s="68" t="s">
        <v>7</v>
      </c>
      <c r="H1515" s="68" t="s">
        <v>1219</v>
      </c>
      <c r="I1515" s="68" t="str">
        <f>VLOOKUP(A1515&amp;G1515&amp;H1515,[1]Views!$E$1:$F$145,2,FALSE)</f>
        <v>rvtm-export</v>
      </c>
    </row>
    <row r="1516" spans="1:9" x14ac:dyDescent="0.25">
      <c r="A1516" s="67" t="s">
        <v>1146</v>
      </c>
      <c r="B1516" s="46" t="s">
        <v>29</v>
      </c>
      <c r="C1516" s="68" t="s">
        <v>96</v>
      </c>
      <c r="D1516" s="68" t="str">
        <f>I1516&amp;".txt"</f>
        <v>rvtm-process-export.txt</v>
      </c>
      <c r="E1516" s="68" t="s">
        <v>81</v>
      </c>
      <c r="F1516" s="68" t="s">
        <v>1233</v>
      </c>
      <c r="G1516" s="68" t="s">
        <v>1216</v>
      </c>
      <c r="H1516" s="68" t="s">
        <v>1217</v>
      </c>
      <c r="I1516" s="68" t="str">
        <f>VLOOKUP(A1516&amp;G1516&amp;H1516,[1]Views!$E$1:$F$145,2,FALSE)</f>
        <v>rvtm-process-export</v>
      </c>
    </row>
    <row r="1517" spans="1:9" x14ac:dyDescent="0.25">
      <c r="G1517" s="8"/>
      <c r="H1517" s="8"/>
      <c r="I1517" s="8"/>
    </row>
    <row r="1518" spans="1:9" x14ac:dyDescent="0.25">
      <c r="A1518" s="67" t="s">
        <v>1146</v>
      </c>
      <c r="B1518" s="42" t="s">
        <v>7</v>
      </c>
      <c r="C1518" s="74" t="s">
        <v>77</v>
      </c>
      <c r="D1518" s="74" t="s">
        <v>1262</v>
      </c>
      <c r="E1518" s="74" t="s">
        <v>81</v>
      </c>
      <c r="F1518" s="74" t="s">
        <v>1235</v>
      </c>
      <c r="G1518" s="8"/>
      <c r="H1518" s="8"/>
      <c r="I1518" s="8"/>
    </row>
    <row r="1519" spans="1:9" x14ac:dyDescent="0.25">
      <c r="A1519" s="67" t="s">
        <v>1146</v>
      </c>
      <c r="B1519" s="42" t="s">
        <v>7</v>
      </c>
      <c r="C1519" s="74" t="s">
        <v>77</v>
      </c>
      <c r="D1519" s="82" t="s">
        <v>474</v>
      </c>
      <c r="E1519" s="82" t="s">
        <v>474</v>
      </c>
      <c r="F1519" s="74" t="s">
        <v>1235</v>
      </c>
      <c r="G1519" s="8"/>
      <c r="H1519" s="8"/>
      <c r="I1519" s="8"/>
    </row>
    <row r="1520" spans="1:9" x14ac:dyDescent="0.25">
      <c r="A1520" s="67" t="s">
        <v>1146</v>
      </c>
      <c r="B1520" s="42" t="s">
        <v>7</v>
      </c>
      <c r="C1520" s="74" t="s">
        <v>77</v>
      </c>
      <c r="D1520" s="74" t="s">
        <v>1236</v>
      </c>
      <c r="E1520" s="74" t="s">
        <v>87</v>
      </c>
      <c r="F1520" s="74" t="s">
        <v>1235</v>
      </c>
      <c r="G1520" s="8"/>
      <c r="H1520" s="8"/>
      <c r="I1520" s="8"/>
    </row>
    <row r="1521" spans="1:9" x14ac:dyDescent="0.25">
      <c r="A1521" s="67" t="s">
        <v>1146</v>
      </c>
      <c r="B1521" s="42" t="s">
        <v>7</v>
      </c>
      <c r="C1521" s="74" t="s">
        <v>77</v>
      </c>
      <c r="D1521" s="74" t="s">
        <v>84</v>
      </c>
      <c r="E1521" s="74" t="s">
        <v>1260</v>
      </c>
      <c r="F1521" s="74" t="s">
        <v>1235</v>
      </c>
      <c r="G1521" s="8"/>
      <c r="H1521" s="8"/>
      <c r="I1521" s="8"/>
    </row>
    <row r="1522" spans="1:9" x14ac:dyDescent="0.25">
      <c r="A1522" s="67" t="s">
        <v>1146</v>
      </c>
      <c r="B1522" s="42" t="s">
        <v>7</v>
      </c>
      <c r="C1522" s="74" t="s">
        <v>77</v>
      </c>
      <c r="D1522" s="74" t="s">
        <v>962</v>
      </c>
      <c r="E1522" s="74" t="s">
        <v>962</v>
      </c>
      <c r="F1522" s="74" t="s">
        <v>1235</v>
      </c>
      <c r="G1522" s="8"/>
      <c r="H1522" s="8"/>
      <c r="I1522" s="8"/>
    </row>
    <row r="1523" spans="1:9" x14ac:dyDescent="0.25">
      <c r="A1523" s="67" t="s">
        <v>1146</v>
      </c>
      <c r="B1523" s="42" t="s">
        <v>7</v>
      </c>
      <c r="C1523" s="74" t="s">
        <v>77</v>
      </c>
      <c r="D1523" s="74" t="s">
        <v>160</v>
      </c>
      <c r="E1523" s="74" t="s">
        <v>79</v>
      </c>
      <c r="F1523" s="74" t="s">
        <v>1235</v>
      </c>
      <c r="G1523" s="8"/>
      <c r="H1523" s="8"/>
    </row>
    <row r="1524" spans="1:9" x14ac:dyDescent="0.25">
      <c r="A1524" s="67" t="s">
        <v>1146</v>
      </c>
      <c r="B1524" s="42" t="s">
        <v>7</v>
      </c>
      <c r="C1524" s="74" t="s">
        <v>77</v>
      </c>
      <c r="D1524" s="82" t="s">
        <v>1237</v>
      </c>
      <c r="E1524" s="82" t="s">
        <v>553</v>
      </c>
      <c r="F1524" s="74" t="s">
        <v>1235</v>
      </c>
      <c r="H1524" s="8"/>
    </row>
    <row r="1525" spans="1:9" x14ac:dyDescent="0.25">
      <c r="A1525" s="67" t="s">
        <v>1146</v>
      </c>
      <c r="B1525" s="42" t="s">
        <v>7</v>
      </c>
      <c r="C1525" s="74" t="s">
        <v>77</v>
      </c>
      <c r="D1525" s="74" t="s">
        <v>1238</v>
      </c>
      <c r="E1525" s="74" t="s">
        <v>554</v>
      </c>
      <c r="F1525" s="74" t="s">
        <v>1235</v>
      </c>
      <c r="H1525" s="8"/>
    </row>
    <row r="1526" spans="1:9" x14ac:dyDescent="0.25">
      <c r="A1526" s="67" t="s">
        <v>1146</v>
      </c>
      <c r="B1526" s="42" t="s">
        <v>7</v>
      </c>
      <c r="C1526" s="74" t="s">
        <v>77</v>
      </c>
      <c r="D1526" s="74" t="s">
        <v>1239</v>
      </c>
      <c r="E1526" s="74" t="s">
        <v>88</v>
      </c>
      <c r="F1526" s="74" t="s">
        <v>1235</v>
      </c>
      <c r="H1526" s="8"/>
    </row>
    <row r="1527" spans="1:9" x14ac:dyDescent="0.25">
      <c r="A1527" s="67" t="s">
        <v>1146</v>
      </c>
      <c r="B1527" s="42" t="s">
        <v>7</v>
      </c>
      <c r="C1527" s="74" t="s">
        <v>77</v>
      </c>
      <c r="D1527" s="74" t="s">
        <v>1223</v>
      </c>
      <c r="E1527" s="74" t="s">
        <v>1223</v>
      </c>
      <c r="F1527" s="74" t="s">
        <v>1235</v>
      </c>
      <c r="H1527" s="8"/>
    </row>
    <row r="1528" spans="1:9" x14ac:dyDescent="0.25">
      <c r="A1528" s="67" t="s">
        <v>1146</v>
      </c>
      <c r="B1528" s="42" t="s">
        <v>7</v>
      </c>
      <c r="C1528" s="78" t="s">
        <v>77</v>
      </c>
      <c r="D1528" s="78" t="s">
        <v>1442</v>
      </c>
      <c r="E1528" s="78" t="s">
        <v>79</v>
      </c>
      <c r="G1528" s="8"/>
      <c r="H1528" s="8"/>
    </row>
    <row r="1529" spans="1:9" x14ac:dyDescent="0.25">
      <c r="A1529" s="67" t="s">
        <v>1146</v>
      </c>
      <c r="B1529" s="42" t="s">
        <v>7</v>
      </c>
      <c r="C1529" s="74" t="s">
        <v>77</v>
      </c>
      <c r="D1529" s="74" t="s">
        <v>1240</v>
      </c>
      <c r="E1529" s="74" t="s">
        <v>99</v>
      </c>
      <c r="F1529" s="74" t="s">
        <v>1235</v>
      </c>
      <c r="G1529" s="8"/>
      <c r="H1529" s="8"/>
    </row>
    <row r="1530" spans="1:9" x14ac:dyDescent="0.25">
      <c r="A1530" s="67" t="s">
        <v>1146</v>
      </c>
      <c r="B1530" s="42" t="s">
        <v>7</v>
      </c>
      <c r="C1530" s="74" t="s">
        <v>77</v>
      </c>
      <c r="D1530" s="74" t="s">
        <v>1241</v>
      </c>
      <c r="E1530" s="74" t="s">
        <v>333</v>
      </c>
      <c r="F1530" s="74" t="s">
        <v>1235</v>
      </c>
      <c r="G1530" s="8"/>
      <c r="H1530" s="8"/>
    </row>
    <row r="1531" spans="1:9" x14ac:dyDescent="0.25">
      <c r="A1531" s="67" t="s">
        <v>1146</v>
      </c>
      <c r="B1531" s="42" t="s">
        <v>7</v>
      </c>
      <c r="C1531" s="74" t="s">
        <v>77</v>
      </c>
      <c r="D1531" s="83" t="s">
        <v>559</v>
      </c>
      <c r="E1531" s="83" t="s">
        <v>559</v>
      </c>
      <c r="F1531" s="74" t="s">
        <v>1235</v>
      </c>
      <c r="G1531" s="8"/>
      <c r="H1531" s="8"/>
    </row>
    <row r="1532" spans="1:9" x14ac:dyDescent="0.25">
      <c r="A1532" s="67" t="s">
        <v>1146</v>
      </c>
      <c r="B1532" s="42" t="s">
        <v>7</v>
      </c>
      <c r="C1532" s="78" t="s">
        <v>77</v>
      </c>
      <c r="D1532" s="79" t="s">
        <v>562</v>
      </c>
      <c r="E1532" s="79" t="s">
        <v>1248</v>
      </c>
      <c r="G1532" s="8"/>
      <c r="H1532" s="8"/>
    </row>
    <row r="1533" spans="1:9" x14ac:dyDescent="0.25">
      <c r="A1533" s="67" t="s">
        <v>1146</v>
      </c>
      <c r="B1533" s="42" t="s">
        <v>7</v>
      </c>
      <c r="C1533" s="74" t="s">
        <v>77</v>
      </c>
      <c r="D1533" s="74" t="s">
        <v>564</v>
      </c>
      <c r="E1533" s="74" t="s">
        <v>1253</v>
      </c>
      <c r="F1533" s="74" t="s">
        <v>1250</v>
      </c>
      <c r="G1533" s="8"/>
      <c r="H1533" s="8"/>
    </row>
    <row r="1534" spans="1:9" x14ac:dyDescent="0.25">
      <c r="A1534" s="67" t="s">
        <v>1146</v>
      </c>
      <c r="B1534" s="42" t="s">
        <v>7</v>
      </c>
      <c r="C1534" s="74" t="s">
        <v>77</v>
      </c>
      <c r="D1534" s="74" t="s">
        <v>565</v>
      </c>
      <c r="E1534" s="74" t="s">
        <v>1253</v>
      </c>
      <c r="F1534" s="74" t="s">
        <v>1251</v>
      </c>
      <c r="G1534" s="8"/>
      <c r="H1534" s="8"/>
    </row>
    <row r="1535" spans="1:9" x14ac:dyDescent="0.25">
      <c r="A1535" s="67" t="s">
        <v>1146</v>
      </c>
      <c r="B1535" s="42" t="s">
        <v>7</v>
      </c>
      <c r="C1535" s="78" t="s">
        <v>77</v>
      </c>
      <c r="D1535" s="79" t="s">
        <v>569</v>
      </c>
      <c r="E1535" s="85" t="s">
        <v>40</v>
      </c>
      <c r="G1535" s="8"/>
      <c r="H1535" s="8"/>
    </row>
    <row r="1536" spans="1:9" x14ac:dyDescent="0.25">
      <c r="A1536" s="67" t="s">
        <v>1146</v>
      </c>
      <c r="B1536" s="42" t="s">
        <v>7</v>
      </c>
      <c r="C1536" s="78" t="s">
        <v>77</v>
      </c>
      <c r="D1536" s="79" t="s">
        <v>570</v>
      </c>
      <c r="E1536" s="85" t="s">
        <v>40</v>
      </c>
      <c r="G1536" s="8"/>
      <c r="H1536" s="8"/>
    </row>
    <row r="1537" spans="1:9" x14ac:dyDescent="0.25">
      <c r="A1537" s="67" t="s">
        <v>1146</v>
      </c>
      <c r="B1537" s="42" t="s">
        <v>7</v>
      </c>
      <c r="C1537" s="74" t="s">
        <v>77</v>
      </c>
      <c r="D1537" s="74" t="s">
        <v>571</v>
      </c>
      <c r="E1537" s="74" t="s">
        <v>1253</v>
      </c>
      <c r="F1537" s="74" t="s">
        <v>1252</v>
      </c>
      <c r="G1537" s="8"/>
      <c r="H1537" s="8"/>
    </row>
    <row r="1538" spans="1:9" x14ac:dyDescent="0.25">
      <c r="A1538" s="67" t="s">
        <v>1146</v>
      </c>
      <c r="B1538" s="42" t="s">
        <v>7</v>
      </c>
      <c r="C1538" s="78" t="s">
        <v>77</v>
      </c>
      <c r="D1538" s="79" t="s">
        <v>1261</v>
      </c>
      <c r="E1538" s="79" t="s">
        <v>81</v>
      </c>
      <c r="G1538" s="8"/>
      <c r="H1538" s="8"/>
      <c r="I1538" s="8"/>
    </row>
    <row r="1539" spans="1:9" x14ac:dyDescent="0.25">
      <c r="A1539" s="67" t="s">
        <v>1146</v>
      </c>
      <c r="B1539" s="42" t="s">
        <v>7</v>
      </c>
      <c r="C1539" s="78" t="s">
        <v>77</v>
      </c>
      <c r="D1539" s="79" t="s">
        <v>89</v>
      </c>
      <c r="E1539" s="79" t="s">
        <v>89</v>
      </c>
      <c r="G1539" s="8"/>
      <c r="H1539" s="8"/>
      <c r="I1539" s="8"/>
    </row>
    <row r="1540" spans="1:9" x14ac:dyDescent="0.25">
      <c r="A1540" s="67" t="s">
        <v>1146</v>
      </c>
      <c r="B1540" s="42" t="s">
        <v>7</v>
      </c>
      <c r="C1540" s="78" t="s">
        <v>77</v>
      </c>
      <c r="D1540" s="79" t="s">
        <v>1242</v>
      </c>
      <c r="E1540" s="79" t="s">
        <v>1242</v>
      </c>
      <c r="G1540" s="8"/>
      <c r="H1540" s="8"/>
      <c r="I1540" s="8"/>
    </row>
    <row r="1541" spans="1:9" x14ac:dyDescent="0.25">
      <c r="A1541" s="67" t="s">
        <v>1146</v>
      </c>
      <c r="B1541" s="42" t="s">
        <v>7</v>
      </c>
      <c r="C1541" s="78" t="s">
        <v>77</v>
      </c>
      <c r="D1541" s="79" t="s">
        <v>1243</v>
      </c>
      <c r="E1541" s="79" t="s">
        <v>1243</v>
      </c>
      <c r="G1541" s="8"/>
      <c r="H1541" s="8"/>
      <c r="I1541" s="8"/>
    </row>
    <row r="1542" spans="1:9" x14ac:dyDescent="0.25">
      <c r="A1542" s="67" t="s">
        <v>1146</v>
      </c>
      <c r="B1542" s="42" t="s">
        <v>7</v>
      </c>
      <c r="C1542" s="78" t="s">
        <v>77</v>
      </c>
      <c r="D1542" s="79" t="s">
        <v>806</v>
      </c>
      <c r="E1542" s="79" t="s">
        <v>806</v>
      </c>
      <c r="G1542" s="8"/>
      <c r="H1542" s="8"/>
      <c r="I1542" s="8"/>
    </row>
    <row r="1543" spans="1:9" x14ac:dyDescent="0.25">
      <c r="A1543" s="67" t="s">
        <v>1146</v>
      </c>
      <c r="B1543" s="42" t="s">
        <v>7</v>
      </c>
      <c r="C1543" s="78" t="s">
        <v>77</v>
      </c>
      <c r="D1543" s="79" t="s">
        <v>1244</v>
      </c>
      <c r="E1543" s="79" t="s">
        <v>1244</v>
      </c>
      <c r="G1543" s="8"/>
      <c r="H1543" s="8"/>
      <c r="I1543" s="8"/>
    </row>
    <row r="1544" spans="1:9" x14ac:dyDescent="0.25">
      <c r="A1544" s="67" t="s">
        <v>1146</v>
      </c>
      <c r="B1544" s="42" t="s">
        <v>7</v>
      </c>
      <c r="C1544" s="78" t="s">
        <v>77</v>
      </c>
      <c r="D1544" s="79" t="s">
        <v>90</v>
      </c>
      <c r="E1544" s="79" t="s">
        <v>90</v>
      </c>
      <c r="G1544" s="8"/>
      <c r="H1544" s="8"/>
      <c r="I1544" s="8"/>
    </row>
    <row r="1545" spans="1:9" x14ac:dyDescent="0.25">
      <c r="A1545" s="67" t="s">
        <v>1146</v>
      </c>
      <c r="B1545" s="42" t="s">
        <v>7</v>
      </c>
      <c r="C1545" s="78" t="s">
        <v>77</v>
      </c>
      <c r="D1545" s="79" t="s">
        <v>466</v>
      </c>
      <c r="E1545" s="79" t="s">
        <v>466</v>
      </c>
      <c r="G1545" s="8"/>
      <c r="H1545" s="8"/>
      <c r="I1545" s="8"/>
    </row>
    <row r="1546" spans="1:9" x14ac:dyDescent="0.25">
      <c r="A1546" s="67" t="s">
        <v>1146</v>
      </c>
      <c r="B1546" s="42" t="s">
        <v>7</v>
      </c>
      <c r="C1546" s="78" t="s">
        <v>77</v>
      </c>
      <c r="D1546" s="79" t="s">
        <v>272</v>
      </c>
      <c r="E1546" s="79" t="s">
        <v>272</v>
      </c>
      <c r="G1546" s="8"/>
      <c r="H1546" s="8"/>
      <c r="I1546" s="8"/>
    </row>
    <row r="1547" spans="1:9" x14ac:dyDescent="0.25">
      <c r="A1547" s="67" t="s">
        <v>1146</v>
      </c>
      <c r="B1547" s="42" t="s">
        <v>7</v>
      </c>
      <c r="C1547" s="78" t="s">
        <v>77</v>
      </c>
      <c r="D1547" s="79" t="s">
        <v>1245</v>
      </c>
      <c r="E1547" s="79" t="s">
        <v>1245</v>
      </c>
      <c r="G1547" s="8"/>
      <c r="H1547" s="8"/>
      <c r="I1547" s="8"/>
    </row>
    <row r="1548" spans="1:9" x14ac:dyDescent="0.25">
      <c r="A1548" s="67" t="s">
        <v>1146</v>
      </c>
      <c r="B1548" s="42" t="s">
        <v>7</v>
      </c>
      <c r="C1548" s="78" t="s">
        <v>77</v>
      </c>
      <c r="D1548" s="79" t="s">
        <v>864</v>
      </c>
      <c r="E1548" s="79" t="s">
        <v>864</v>
      </c>
      <c r="G1548" s="8"/>
      <c r="H1548" s="8"/>
      <c r="I1548" s="8"/>
    </row>
    <row r="1549" spans="1:9" x14ac:dyDescent="0.25">
      <c r="A1549" s="67" t="s">
        <v>1146</v>
      </c>
      <c r="B1549" s="42" t="s">
        <v>7</v>
      </c>
      <c r="C1549" s="78" t="s">
        <v>77</v>
      </c>
      <c r="D1549" s="79" t="s">
        <v>1246</v>
      </c>
      <c r="E1549" s="79" t="s">
        <v>1246</v>
      </c>
      <c r="G1549" s="8"/>
      <c r="H1549" s="8"/>
      <c r="I1549" s="8"/>
    </row>
    <row r="1550" spans="1:9" x14ac:dyDescent="0.25">
      <c r="A1550" s="67" t="s">
        <v>1146</v>
      </c>
      <c r="B1550" s="42" t="s">
        <v>7</v>
      </c>
      <c r="C1550" s="78" t="s">
        <v>77</v>
      </c>
      <c r="D1550" s="79" t="s">
        <v>1247</v>
      </c>
      <c r="E1550" s="79" t="s">
        <v>1249</v>
      </c>
      <c r="G1550" s="8"/>
      <c r="H1550" s="8"/>
      <c r="I1550" s="8"/>
    </row>
    <row r="1551" spans="1:9" ht="30" x14ac:dyDescent="0.25">
      <c r="A1551" s="67" t="s">
        <v>1146</v>
      </c>
      <c r="B1551" s="42" t="s">
        <v>7</v>
      </c>
      <c r="C1551" s="68" t="s">
        <v>95</v>
      </c>
      <c r="D1551" s="68" t="str">
        <f>I1551&amp;".txt"</f>
        <v>rvtm-export.txt</v>
      </c>
      <c r="E1551" s="72" t="s">
        <v>81</v>
      </c>
      <c r="F1551" s="68"/>
      <c r="G1551" s="68" t="s">
        <v>7</v>
      </c>
      <c r="H1551" s="68" t="s">
        <v>1219</v>
      </c>
      <c r="I1551" s="68" t="str">
        <f>VLOOKUP(A1551&amp;G1551&amp;H1551,[1]Views!$E$1:$F$145,2,FALSE)</f>
        <v>rvtm-export</v>
      </c>
    </row>
    <row r="1552" spans="1:9" ht="30" x14ac:dyDescent="0.25">
      <c r="A1552" s="67" t="s">
        <v>1146</v>
      </c>
      <c r="B1552" s="42" t="s">
        <v>7</v>
      </c>
      <c r="C1552" s="68" t="s">
        <v>96</v>
      </c>
      <c r="D1552" s="68" t="str">
        <f>I1552&amp;".txt"</f>
        <v>ratm-export.txt</v>
      </c>
      <c r="E1552" s="68" t="s">
        <v>81</v>
      </c>
      <c r="F1552" s="68" t="s">
        <v>1235</v>
      </c>
      <c r="G1552" s="68" t="s">
        <v>29</v>
      </c>
      <c r="H1552" s="68" t="s">
        <v>59</v>
      </c>
      <c r="I1552" s="68" t="str">
        <f>VLOOKUP(A1552&amp;G1552&amp;H1552,[1]Views!$E$1:$F$145,2,FALSE)</f>
        <v>ratm-export</v>
      </c>
    </row>
    <row r="1553" spans="1:9" ht="30" x14ac:dyDescent="0.25">
      <c r="A1553" s="67" t="s">
        <v>1146</v>
      </c>
      <c r="B1553" s="42" t="s">
        <v>7</v>
      </c>
      <c r="C1553" s="68" t="s">
        <v>96</v>
      </c>
      <c r="D1553" s="68" t="str">
        <f>I1553&amp;".txt"</f>
        <v>ratm-export.txt</v>
      </c>
      <c r="E1553" s="68" t="s">
        <v>81</v>
      </c>
      <c r="F1553" s="68" t="s">
        <v>1231</v>
      </c>
      <c r="G1553" s="68" t="s">
        <v>29</v>
      </c>
      <c r="H1553" s="68" t="s">
        <v>59</v>
      </c>
      <c r="I1553" s="68" t="str">
        <f>VLOOKUP(A1553&amp;G1553&amp;H1553,[1]Views!$E$1:$F$145,2,FALSE)</f>
        <v>ratm-export</v>
      </c>
    </row>
    <row r="1554" spans="1:9" ht="30" x14ac:dyDescent="0.25">
      <c r="A1554" s="67" t="s">
        <v>1146</v>
      </c>
      <c r="B1554" s="42" t="s">
        <v>7</v>
      </c>
      <c r="C1554" s="68" t="s">
        <v>96</v>
      </c>
      <c r="D1554" s="68" t="str">
        <f>I1554&amp;".txt"</f>
        <v>control-register-export.txt</v>
      </c>
      <c r="E1554" s="68" t="s">
        <v>81</v>
      </c>
      <c r="F1554" s="68" t="s">
        <v>1226</v>
      </c>
      <c r="G1554" s="68" t="s">
        <v>9</v>
      </c>
      <c r="H1554" s="68" t="s">
        <v>9</v>
      </c>
      <c r="I1554" s="68" t="str">
        <f>VLOOKUP(A1554&amp;G1554&amp;H1554,[1]Views!$E$1:$F$145,2,FALSE)</f>
        <v>control-register-export</v>
      </c>
    </row>
    <row r="1555" spans="1:9" x14ac:dyDescent="0.25">
      <c r="A1555" s="67" t="s">
        <v>1146</v>
      </c>
      <c r="B1555" s="42" t="s">
        <v>7</v>
      </c>
      <c r="C1555" s="68" t="s">
        <v>96</v>
      </c>
      <c r="D1555" s="68" t="str">
        <f>I1555&amp;".txt"</f>
        <v>adc-register-export.txt</v>
      </c>
      <c r="E1555" s="68" t="s">
        <v>81</v>
      </c>
      <c r="F1555" s="68" t="s">
        <v>1232</v>
      </c>
      <c r="G1555" s="68" t="s">
        <v>339</v>
      </c>
      <c r="H1555" s="68" t="s">
        <v>339</v>
      </c>
      <c r="I1555" s="68" t="str">
        <f>VLOOKUP(A1555&amp;G1555&amp;H1555,[1]Views!$E$1:$F$145,2,FALSE)</f>
        <v>adc-register-export</v>
      </c>
    </row>
    <row r="1556" spans="1:9" x14ac:dyDescent="0.25">
      <c r="G1556" s="8"/>
      <c r="H1556" s="8"/>
      <c r="I1556" s="8"/>
    </row>
    <row r="1557" spans="1:9" x14ac:dyDescent="0.25">
      <c r="A1557" s="67" t="s">
        <v>1146</v>
      </c>
      <c r="B1557" s="91" t="s">
        <v>1216</v>
      </c>
      <c r="C1557" s="74" t="s">
        <v>77</v>
      </c>
      <c r="D1557" s="74" t="s">
        <v>1262</v>
      </c>
      <c r="E1557" s="74" t="s">
        <v>81</v>
      </c>
      <c r="F1557" s="74" t="s">
        <v>1353</v>
      </c>
      <c r="G1557" s="8"/>
      <c r="H1557" s="8"/>
      <c r="I1557" s="8"/>
    </row>
    <row r="1558" spans="1:9" x14ac:dyDescent="0.25">
      <c r="A1558" s="67" t="s">
        <v>1146</v>
      </c>
      <c r="B1558" s="91" t="s">
        <v>1216</v>
      </c>
      <c r="C1558" s="74" t="s">
        <v>77</v>
      </c>
      <c r="D1558" s="82" t="s">
        <v>474</v>
      </c>
      <c r="E1558" s="82" t="s">
        <v>474</v>
      </c>
      <c r="F1558" s="74" t="s">
        <v>1353</v>
      </c>
      <c r="G1558" s="8"/>
      <c r="H1558" s="8"/>
      <c r="I1558" s="8"/>
    </row>
    <row r="1559" spans="1:9" x14ac:dyDescent="0.25">
      <c r="A1559" s="67" t="s">
        <v>1146</v>
      </c>
      <c r="B1559" s="91" t="s">
        <v>1216</v>
      </c>
      <c r="C1559" s="74" t="s">
        <v>77</v>
      </c>
      <c r="D1559" s="74" t="s">
        <v>1236</v>
      </c>
      <c r="E1559" s="74" t="s">
        <v>87</v>
      </c>
      <c r="F1559" s="74" t="s">
        <v>1353</v>
      </c>
      <c r="G1559" s="8"/>
      <c r="H1559" s="8"/>
      <c r="I1559" s="8"/>
    </row>
    <row r="1560" spans="1:9" x14ac:dyDescent="0.25">
      <c r="A1560" s="67" t="s">
        <v>1146</v>
      </c>
      <c r="B1560" s="91" t="s">
        <v>1216</v>
      </c>
      <c r="C1560" s="74" t="s">
        <v>77</v>
      </c>
      <c r="D1560" s="74" t="s">
        <v>84</v>
      </c>
      <c r="E1560" s="74" t="s">
        <v>1260</v>
      </c>
      <c r="F1560" s="74" t="s">
        <v>1353</v>
      </c>
      <c r="G1560" s="8"/>
      <c r="H1560" s="8"/>
      <c r="I1560" s="8"/>
    </row>
    <row r="1561" spans="1:9" x14ac:dyDescent="0.25">
      <c r="A1561" s="67" t="s">
        <v>1146</v>
      </c>
      <c r="B1561" s="91" t="s">
        <v>1216</v>
      </c>
      <c r="C1561" s="74" t="s">
        <v>77</v>
      </c>
      <c r="D1561" s="74" t="s">
        <v>962</v>
      </c>
      <c r="E1561" s="74" t="s">
        <v>962</v>
      </c>
      <c r="F1561" s="74" t="s">
        <v>1353</v>
      </c>
      <c r="G1561" s="8"/>
      <c r="H1561" s="8"/>
      <c r="I1561" s="8"/>
    </row>
    <row r="1562" spans="1:9" x14ac:dyDescent="0.25">
      <c r="A1562" s="67" t="s">
        <v>1146</v>
      </c>
      <c r="B1562" s="91" t="s">
        <v>1216</v>
      </c>
      <c r="C1562" s="74" t="s">
        <v>77</v>
      </c>
      <c r="D1562" s="74" t="s">
        <v>160</v>
      </c>
      <c r="E1562" s="74" t="s">
        <v>79</v>
      </c>
      <c r="F1562" s="74" t="s">
        <v>1353</v>
      </c>
      <c r="G1562" s="8"/>
      <c r="H1562" s="8"/>
      <c r="I1562" s="8"/>
    </row>
    <row r="1563" spans="1:9" x14ac:dyDescent="0.25">
      <c r="A1563" s="67" t="s">
        <v>1146</v>
      </c>
      <c r="B1563" s="91" t="s">
        <v>1216</v>
      </c>
      <c r="C1563" s="74" t="s">
        <v>77</v>
      </c>
      <c r="D1563" s="82" t="s">
        <v>1237</v>
      </c>
      <c r="E1563" s="82" t="s">
        <v>553</v>
      </c>
      <c r="F1563" s="74" t="s">
        <v>1353</v>
      </c>
      <c r="G1563" s="8"/>
      <c r="H1563" s="8"/>
      <c r="I1563" s="8"/>
    </row>
    <row r="1564" spans="1:9" x14ac:dyDescent="0.25">
      <c r="A1564" s="67" t="s">
        <v>1146</v>
      </c>
      <c r="B1564" s="91" t="s">
        <v>1216</v>
      </c>
      <c r="C1564" s="74" t="s">
        <v>77</v>
      </c>
      <c r="D1564" s="74" t="s">
        <v>1238</v>
      </c>
      <c r="E1564" s="74" t="s">
        <v>554</v>
      </c>
      <c r="F1564" s="74" t="s">
        <v>1353</v>
      </c>
      <c r="G1564" s="8"/>
      <c r="H1564" s="8"/>
      <c r="I1564" s="8"/>
    </row>
    <row r="1565" spans="1:9" x14ac:dyDescent="0.25">
      <c r="A1565" s="67" t="s">
        <v>1146</v>
      </c>
      <c r="B1565" s="91" t="s">
        <v>1216</v>
      </c>
      <c r="C1565" s="74" t="s">
        <v>77</v>
      </c>
      <c r="D1565" s="74" t="s">
        <v>1239</v>
      </c>
      <c r="E1565" s="74" t="s">
        <v>88</v>
      </c>
      <c r="F1565" s="74" t="s">
        <v>1353</v>
      </c>
      <c r="G1565" s="8"/>
      <c r="H1565" s="8"/>
      <c r="I1565" s="8"/>
    </row>
    <row r="1566" spans="1:9" x14ac:dyDescent="0.25">
      <c r="A1566" s="67" t="s">
        <v>1146</v>
      </c>
      <c r="B1566" s="91" t="s">
        <v>1216</v>
      </c>
      <c r="C1566" s="74" t="s">
        <v>77</v>
      </c>
      <c r="D1566" s="74" t="s">
        <v>1223</v>
      </c>
      <c r="E1566" s="74" t="s">
        <v>1223</v>
      </c>
      <c r="F1566" s="74" t="s">
        <v>1353</v>
      </c>
      <c r="G1566" s="8"/>
      <c r="H1566" s="8"/>
      <c r="I1566" s="8"/>
    </row>
    <row r="1567" spans="1:9" x14ac:dyDescent="0.25">
      <c r="A1567" s="67" t="s">
        <v>1146</v>
      </c>
      <c r="B1567" s="91" t="s">
        <v>1216</v>
      </c>
      <c r="C1567" s="78" t="s">
        <v>77</v>
      </c>
      <c r="D1567" s="78" t="s">
        <v>1441</v>
      </c>
      <c r="E1567" s="78" t="s">
        <v>79</v>
      </c>
      <c r="G1567" s="8"/>
      <c r="H1567" s="8"/>
      <c r="I1567" s="8"/>
    </row>
    <row r="1568" spans="1:9" x14ac:dyDescent="0.25">
      <c r="A1568" s="67" t="s">
        <v>1146</v>
      </c>
      <c r="B1568" s="91" t="s">
        <v>1216</v>
      </c>
      <c r="C1568" s="74" t="s">
        <v>77</v>
      </c>
      <c r="D1568" s="74" t="s">
        <v>1240</v>
      </c>
      <c r="E1568" s="74" t="s">
        <v>99</v>
      </c>
      <c r="F1568" s="74" t="s">
        <v>1353</v>
      </c>
      <c r="G1568" s="8"/>
      <c r="H1568" s="8"/>
      <c r="I1568" s="8"/>
    </row>
    <row r="1569" spans="1:9" x14ac:dyDescent="0.25">
      <c r="A1569" s="67" t="s">
        <v>1146</v>
      </c>
      <c r="B1569" s="91" t="s">
        <v>1216</v>
      </c>
      <c r="C1569" s="74" t="s">
        <v>77</v>
      </c>
      <c r="D1569" s="83" t="s">
        <v>559</v>
      </c>
      <c r="E1569" s="83" t="s">
        <v>559</v>
      </c>
      <c r="F1569" s="74" t="s">
        <v>1353</v>
      </c>
      <c r="G1569" s="8"/>
      <c r="H1569" s="8"/>
      <c r="I1569" s="8"/>
    </row>
    <row r="1570" spans="1:9" x14ac:dyDescent="0.25">
      <c r="A1570" s="67" t="s">
        <v>1146</v>
      </c>
      <c r="B1570" s="91" t="s">
        <v>1216</v>
      </c>
      <c r="C1570" s="78" t="s">
        <v>77</v>
      </c>
      <c r="D1570" s="79" t="s">
        <v>562</v>
      </c>
      <c r="E1570" s="79" t="s">
        <v>1354</v>
      </c>
      <c r="G1570" s="8"/>
      <c r="H1570" s="8"/>
      <c r="I1570" s="8"/>
    </row>
    <row r="1571" spans="1:9" x14ac:dyDescent="0.25">
      <c r="A1571" s="67" t="s">
        <v>1146</v>
      </c>
      <c r="B1571" s="91" t="s">
        <v>1216</v>
      </c>
      <c r="C1571" s="74" t="s">
        <v>77</v>
      </c>
      <c r="D1571" s="74" t="s">
        <v>564</v>
      </c>
      <c r="E1571" s="74" t="s">
        <v>1355</v>
      </c>
      <c r="F1571" s="74" t="s">
        <v>1356</v>
      </c>
      <c r="G1571" s="8"/>
      <c r="H1571" s="8"/>
      <c r="I1571" s="8"/>
    </row>
    <row r="1572" spans="1:9" x14ac:dyDescent="0.25">
      <c r="A1572" s="67" t="s">
        <v>1146</v>
      </c>
      <c r="B1572" s="91" t="s">
        <v>1216</v>
      </c>
      <c r="C1572" s="74" t="s">
        <v>77</v>
      </c>
      <c r="D1572" s="74" t="s">
        <v>565</v>
      </c>
      <c r="E1572" s="74" t="s">
        <v>1355</v>
      </c>
      <c r="F1572" s="74" t="s">
        <v>1357</v>
      </c>
      <c r="G1572" s="8"/>
      <c r="H1572" s="8"/>
      <c r="I1572" s="8"/>
    </row>
    <row r="1573" spans="1:9" x14ac:dyDescent="0.25">
      <c r="A1573" s="67" t="s">
        <v>1146</v>
      </c>
      <c r="B1573" s="91" t="s">
        <v>1216</v>
      </c>
      <c r="C1573" s="74" t="s">
        <v>77</v>
      </c>
      <c r="D1573" s="74" t="s">
        <v>571</v>
      </c>
      <c r="E1573" s="74" t="s">
        <v>1253</v>
      </c>
      <c r="F1573" s="74" t="s">
        <v>1358</v>
      </c>
      <c r="G1573" s="8"/>
      <c r="H1573" s="8"/>
      <c r="I1573" s="8"/>
    </row>
    <row r="1574" spans="1:9" x14ac:dyDescent="0.25">
      <c r="A1574" s="67" t="s">
        <v>1146</v>
      </c>
      <c r="B1574" s="91" t="s">
        <v>1216</v>
      </c>
      <c r="C1574" s="78" t="s">
        <v>77</v>
      </c>
      <c r="D1574" s="79" t="s">
        <v>1261</v>
      </c>
      <c r="E1574" s="79" t="s">
        <v>81</v>
      </c>
      <c r="G1574" s="8"/>
      <c r="H1574" s="8"/>
      <c r="I1574" s="8"/>
    </row>
    <row r="1575" spans="1:9" x14ac:dyDescent="0.25">
      <c r="A1575" s="67" t="s">
        <v>1146</v>
      </c>
      <c r="B1575" s="91" t="s">
        <v>1216</v>
      </c>
      <c r="C1575" s="78" t="s">
        <v>77</v>
      </c>
      <c r="D1575" s="79" t="s">
        <v>913</v>
      </c>
      <c r="E1575" s="79" t="s">
        <v>913</v>
      </c>
      <c r="G1575" s="8"/>
      <c r="H1575" s="8"/>
      <c r="I1575" s="8"/>
    </row>
    <row r="1576" spans="1:9" x14ac:dyDescent="0.25">
      <c r="A1576" s="67" t="s">
        <v>1146</v>
      </c>
      <c r="B1576" s="91" t="s">
        <v>1216</v>
      </c>
      <c r="C1576" s="78" t="s">
        <v>77</v>
      </c>
      <c r="D1576" s="79" t="s">
        <v>1359</v>
      </c>
      <c r="E1576" s="79" t="s">
        <v>1359</v>
      </c>
      <c r="G1576" s="8"/>
      <c r="H1576" s="8"/>
      <c r="I1576" s="8"/>
    </row>
    <row r="1577" spans="1:9" x14ac:dyDescent="0.25">
      <c r="A1577" s="67" t="s">
        <v>1146</v>
      </c>
      <c r="B1577" s="91" t="s">
        <v>1216</v>
      </c>
      <c r="C1577" s="78" t="s">
        <v>77</v>
      </c>
      <c r="D1577" s="79" t="s">
        <v>1247</v>
      </c>
      <c r="E1577" s="79" t="s">
        <v>1249</v>
      </c>
      <c r="G1577" s="8"/>
      <c r="H1577" s="8"/>
      <c r="I1577" s="8"/>
    </row>
    <row r="1578" spans="1:9" x14ac:dyDescent="0.25">
      <c r="A1578" s="67" t="s">
        <v>1146</v>
      </c>
      <c r="B1578" s="91" t="s">
        <v>1216</v>
      </c>
      <c r="C1578" s="68" t="s">
        <v>95</v>
      </c>
      <c r="D1578" s="68" t="str">
        <f>I1578&amp;".txt"</f>
        <v>rvtm-process-export.txt</v>
      </c>
      <c r="E1578" s="72" t="s">
        <v>81</v>
      </c>
      <c r="F1578" s="68"/>
      <c r="G1578" s="68" t="s">
        <v>1216</v>
      </c>
      <c r="H1578" s="68" t="s">
        <v>1217</v>
      </c>
      <c r="I1578" s="68" t="str">
        <f>VLOOKUP(A1578&amp;G1578&amp;H1578,[2]Views!$E$1:$F$143,2,FALSE)</f>
        <v>rvtm-process-export</v>
      </c>
    </row>
    <row r="1579" spans="1:9" ht="30" x14ac:dyDescent="0.25">
      <c r="A1579" s="67" t="s">
        <v>1146</v>
      </c>
      <c r="B1579" s="91" t="s">
        <v>1216</v>
      </c>
      <c r="C1579" s="68" t="s">
        <v>96</v>
      </c>
      <c r="D1579" s="68" t="str">
        <f>I1579&amp;".txt"</f>
        <v>ratm-export.txt</v>
      </c>
      <c r="E1579" s="68" t="s">
        <v>81</v>
      </c>
      <c r="F1579" s="68" t="s">
        <v>1353</v>
      </c>
      <c r="G1579" s="68" t="s">
        <v>29</v>
      </c>
      <c r="H1579" s="68" t="s">
        <v>59</v>
      </c>
      <c r="I1579" s="68" t="str">
        <f>VLOOKUP(A1579&amp;G1579&amp;H1579,[2]Views!$E$1:$F$143,2,FALSE)</f>
        <v>ratm-export</v>
      </c>
    </row>
    <row r="1580" spans="1:9" ht="30" x14ac:dyDescent="0.25">
      <c r="A1580" s="67" t="s">
        <v>1146</v>
      </c>
      <c r="B1580" s="91" t="s">
        <v>1216</v>
      </c>
      <c r="C1580" s="68" t="s">
        <v>96</v>
      </c>
      <c r="D1580" s="68" t="str">
        <f>I1580&amp;".txt"</f>
        <v>ratm-export.txt</v>
      </c>
      <c r="E1580" s="68" t="s">
        <v>81</v>
      </c>
      <c r="F1580" s="68" t="s">
        <v>1231</v>
      </c>
      <c r="G1580" s="68" t="s">
        <v>29</v>
      </c>
      <c r="H1580" s="68" t="s">
        <v>59</v>
      </c>
      <c r="I1580" s="68" t="str">
        <f>VLOOKUP(A1580&amp;G1580&amp;H1580,[2]Views!$E$1:$F$143,2,FALSE)</f>
        <v>ratm-export</v>
      </c>
    </row>
    <row r="1581" spans="1:9" ht="30" x14ac:dyDescent="0.25">
      <c r="A1581" s="67" t="s">
        <v>1146</v>
      </c>
      <c r="B1581" s="91" t="s">
        <v>1216</v>
      </c>
      <c r="C1581" s="68" t="s">
        <v>96</v>
      </c>
      <c r="D1581" s="68" t="str">
        <f>I1581&amp;".txt"</f>
        <v>control-register-export.txt</v>
      </c>
      <c r="E1581" s="68" t="s">
        <v>81</v>
      </c>
      <c r="F1581" s="68" t="s">
        <v>1226</v>
      </c>
      <c r="G1581" s="68" t="s">
        <v>9</v>
      </c>
      <c r="H1581" s="68" t="s">
        <v>9</v>
      </c>
      <c r="I1581" s="68" t="str">
        <f>VLOOKUP(A1581&amp;G1581&amp;H1581,[2]Views!$E$1:$F$143,2,FALSE)</f>
        <v>control-register-export</v>
      </c>
    </row>
    <row r="1582" spans="1:9" x14ac:dyDescent="0.25">
      <c r="A1582" s="67" t="s">
        <v>1146</v>
      </c>
      <c r="B1582" s="91" t="s">
        <v>1216</v>
      </c>
      <c r="C1582" s="68" t="s">
        <v>96</v>
      </c>
      <c r="D1582" s="68" t="str">
        <f>I1582&amp;".txt"</f>
        <v>adc-register-export.txt</v>
      </c>
      <c r="E1582" s="68" t="s">
        <v>81</v>
      </c>
      <c r="F1582" s="68" t="s">
        <v>1232</v>
      </c>
      <c r="G1582" s="68" t="s">
        <v>339</v>
      </c>
      <c r="H1582" s="68" t="s">
        <v>339</v>
      </c>
      <c r="I1582" s="68" t="str">
        <f>VLOOKUP(A1582&amp;G1582&amp;H1582,[2]Views!$E$1:$F$143,2,FALSE)</f>
        <v>adc-register-export</v>
      </c>
    </row>
    <row r="1583" spans="1:9" x14ac:dyDescent="0.25">
      <c r="G1583" s="8"/>
      <c r="H1583" s="8"/>
      <c r="I1583" s="8"/>
    </row>
    <row r="1584" spans="1:9" x14ac:dyDescent="0.25">
      <c r="A1584" s="18" t="s">
        <v>1079</v>
      </c>
      <c r="B1584" s="18" t="s">
        <v>353</v>
      </c>
      <c r="C1584" s="4" t="s">
        <v>77</v>
      </c>
      <c r="D1584" s="51" t="s">
        <v>477</v>
      </c>
      <c r="E1584" s="51" t="s">
        <v>477</v>
      </c>
      <c r="F1584" s="8"/>
      <c r="G1584" s="8"/>
      <c r="H1584" s="8"/>
      <c r="I1584" s="8"/>
    </row>
    <row r="1585" spans="1:9" x14ac:dyDescent="0.25">
      <c r="A1585" s="18" t="s">
        <v>1079</v>
      </c>
      <c r="B1585" s="18" t="s">
        <v>353</v>
      </c>
      <c r="C1585" s="4" t="s">
        <v>77</v>
      </c>
      <c r="D1585" s="51" t="s">
        <v>1082</v>
      </c>
      <c r="E1585" s="51" t="s">
        <v>81</v>
      </c>
      <c r="F1585" s="8"/>
      <c r="G1585" s="8"/>
      <c r="H1585" s="8"/>
      <c r="I1585" s="8"/>
    </row>
    <row r="1586" spans="1:9" x14ac:dyDescent="0.25">
      <c r="A1586" s="18" t="s">
        <v>1079</v>
      </c>
      <c r="B1586" s="18" t="s">
        <v>353</v>
      </c>
      <c r="C1586" s="4" t="s">
        <v>77</v>
      </c>
      <c r="D1586" s="51" t="s">
        <v>1083</v>
      </c>
      <c r="E1586" s="51" t="s">
        <v>79</v>
      </c>
      <c r="F1586" s="8"/>
      <c r="G1586" s="8"/>
      <c r="H1586" s="8"/>
      <c r="I1586" s="8"/>
    </row>
    <row r="1587" spans="1:9" x14ac:dyDescent="0.25">
      <c r="A1587" s="18" t="s">
        <v>1079</v>
      </c>
      <c r="B1587" s="18" t="s">
        <v>353</v>
      </c>
      <c r="C1587" s="4" t="s">
        <v>77</v>
      </c>
      <c r="D1587" s="92" t="s">
        <v>962</v>
      </c>
      <c r="E1587" s="92" t="s">
        <v>962</v>
      </c>
      <c r="F1587" s="8"/>
      <c r="G1587" s="8"/>
      <c r="H1587" s="8"/>
      <c r="I1587" s="8"/>
    </row>
    <row r="1588" spans="1:9" x14ac:dyDescent="0.25">
      <c r="A1588" s="18" t="s">
        <v>1079</v>
      </c>
      <c r="B1588" s="18" t="s">
        <v>353</v>
      </c>
      <c r="C1588" s="4" t="s">
        <v>77</v>
      </c>
      <c r="D1588" s="92" t="s">
        <v>1084</v>
      </c>
      <c r="E1588" s="92" t="s">
        <v>85</v>
      </c>
      <c r="F1588" s="8"/>
      <c r="G1588" s="8"/>
      <c r="H1588" s="8"/>
      <c r="I1588" s="8"/>
    </row>
    <row r="1589" spans="1:9" x14ac:dyDescent="0.25">
      <c r="A1589" s="18" t="s">
        <v>1079</v>
      </c>
      <c r="B1589" s="18" t="s">
        <v>353</v>
      </c>
      <c r="C1589" s="4" t="s">
        <v>77</v>
      </c>
      <c r="D1589" s="92" t="s">
        <v>1448</v>
      </c>
      <c r="E1589" s="92" t="s">
        <v>474</v>
      </c>
      <c r="F1589" s="8"/>
      <c r="G1589" s="8"/>
      <c r="H1589" s="8"/>
      <c r="I1589" s="8"/>
    </row>
    <row r="1590" spans="1:9" x14ac:dyDescent="0.25">
      <c r="A1590" s="18" t="s">
        <v>1079</v>
      </c>
      <c r="B1590" s="18" t="s">
        <v>353</v>
      </c>
      <c r="C1590" s="4" t="s">
        <v>77</v>
      </c>
      <c r="D1590" s="92" t="s">
        <v>1085</v>
      </c>
      <c r="E1590" s="92" t="s">
        <v>87</v>
      </c>
      <c r="F1590" s="8"/>
      <c r="G1590" s="8"/>
      <c r="H1590" s="8"/>
      <c r="I1590" s="8"/>
    </row>
    <row r="1591" spans="1:9" x14ac:dyDescent="0.25">
      <c r="A1591" s="18" t="s">
        <v>1079</v>
      </c>
      <c r="B1591" s="18" t="s">
        <v>353</v>
      </c>
      <c r="C1591" s="4" t="s">
        <v>77</v>
      </c>
      <c r="D1591" s="94" t="s">
        <v>554</v>
      </c>
      <c r="E1591" s="94" t="s">
        <v>554</v>
      </c>
      <c r="F1591" s="8"/>
      <c r="G1591" s="8"/>
      <c r="H1591" s="8"/>
      <c r="I1591" s="8"/>
    </row>
    <row r="1592" spans="1:9" x14ac:dyDescent="0.25">
      <c r="A1592" s="18" t="s">
        <v>1079</v>
      </c>
      <c r="B1592" s="18" t="s">
        <v>353</v>
      </c>
      <c r="C1592" s="4" t="s">
        <v>77</v>
      </c>
      <c r="D1592" s="94" t="s">
        <v>1086</v>
      </c>
      <c r="E1592" s="94" t="s">
        <v>88</v>
      </c>
      <c r="F1592" s="8"/>
      <c r="G1592" s="8"/>
      <c r="H1592" s="8"/>
      <c r="I1592" s="8"/>
    </row>
    <row r="1593" spans="1:9" x14ac:dyDescent="0.25">
      <c r="A1593" s="18" t="s">
        <v>1079</v>
      </c>
      <c r="B1593" s="18" t="s">
        <v>353</v>
      </c>
      <c r="C1593" s="4" t="s">
        <v>77</v>
      </c>
      <c r="D1593" s="94" t="s">
        <v>1137</v>
      </c>
      <c r="E1593" s="94" t="s">
        <v>98</v>
      </c>
      <c r="F1593" s="8"/>
      <c r="G1593" s="8"/>
      <c r="H1593" s="8"/>
      <c r="I1593" s="8"/>
    </row>
    <row r="1594" spans="1:9" x14ac:dyDescent="0.25">
      <c r="A1594" s="18" t="s">
        <v>1079</v>
      </c>
      <c r="B1594" s="18" t="s">
        <v>353</v>
      </c>
      <c r="C1594" s="4" t="s">
        <v>77</v>
      </c>
      <c r="D1594" s="94" t="s">
        <v>99</v>
      </c>
      <c r="E1594" s="94" t="s">
        <v>99</v>
      </c>
      <c r="F1594" s="8"/>
      <c r="G1594" s="8"/>
      <c r="H1594" s="8"/>
      <c r="I1594" s="8"/>
    </row>
    <row r="1595" spans="1:9" x14ac:dyDescent="0.25">
      <c r="A1595" s="18" t="s">
        <v>1079</v>
      </c>
      <c r="B1595" s="18" t="s">
        <v>353</v>
      </c>
      <c r="C1595" s="4" t="s">
        <v>77</v>
      </c>
      <c r="D1595" s="95" t="s">
        <v>995</v>
      </c>
      <c r="E1595" s="95" t="s">
        <v>995</v>
      </c>
      <c r="F1595" s="8"/>
      <c r="G1595" s="8"/>
      <c r="H1595" s="8"/>
      <c r="I1595" s="8"/>
    </row>
    <row r="1596" spans="1:9" x14ac:dyDescent="0.25">
      <c r="A1596" s="18" t="s">
        <v>1079</v>
      </c>
      <c r="B1596" s="18" t="s">
        <v>353</v>
      </c>
      <c r="C1596" s="4" t="s">
        <v>77</v>
      </c>
      <c r="D1596" s="95" t="s">
        <v>1444</v>
      </c>
      <c r="E1596" s="95" t="s">
        <v>1444</v>
      </c>
      <c r="F1596" s="8"/>
      <c r="G1596" s="8"/>
      <c r="H1596" s="8"/>
      <c r="I1596" s="8"/>
    </row>
    <row r="1597" spans="1:9" x14ac:dyDescent="0.25">
      <c r="A1597" s="18" t="s">
        <v>1079</v>
      </c>
      <c r="B1597" s="18" t="s">
        <v>353</v>
      </c>
      <c r="C1597" s="4" t="s">
        <v>77</v>
      </c>
      <c r="D1597" s="95" t="s">
        <v>1068</v>
      </c>
      <c r="E1597" s="95" t="s">
        <v>1068</v>
      </c>
      <c r="F1597" s="8"/>
      <c r="G1597" s="8"/>
      <c r="H1597" s="8"/>
      <c r="I1597" s="8"/>
    </row>
    <row r="1598" spans="1:9" x14ac:dyDescent="0.25">
      <c r="A1598" s="18" t="s">
        <v>1079</v>
      </c>
      <c r="B1598" s="18" t="s">
        <v>353</v>
      </c>
      <c r="C1598" s="4" t="s">
        <v>77</v>
      </c>
      <c r="D1598" s="93" t="s">
        <v>25</v>
      </c>
      <c r="E1598" s="93" t="s">
        <v>333</v>
      </c>
      <c r="F1598" s="8"/>
      <c r="G1598" s="8"/>
      <c r="H1598" s="8"/>
      <c r="I1598" s="8"/>
    </row>
    <row r="1599" spans="1:9" x14ac:dyDescent="0.25">
      <c r="A1599" s="18" t="s">
        <v>1079</v>
      </c>
      <c r="B1599" s="18" t="s">
        <v>353</v>
      </c>
      <c r="C1599" s="4" t="s">
        <v>77</v>
      </c>
      <c r="D1599" s="93" t="s">
        <v>1372</v>
      </c>
      <c r="E1599" s="93" t="s">
        <v>1372</v>
      </c>
      <c r="F1599" s="8"/>
      <c r="G1599" s="8"/>
      <c r="H1599" s="8"/>
      <c r="I1599" s="8"/>
    </row>
    <row r="1600" spans="1:9" x14ac:dyDescent="0.25">
      <c r="A1600" s="18" t="s">
        <v>1079</v>
      </c>
      <c r="B1600" s="18" t="s">
        <v>353</v>
      </c>
      <c r="C1600" s="4" t="s">
        <v>77</v>
      </c>
      <c r="D1600" s="93" t="s">
        <v>1242</v>
      </c>
      <c r="E1600" s="93" t="s">
        <v>1242</v>
      </c>
      <c r="F1600" s="8"/>
      <c r="G1600" s="8"/>
      <c r="H1600" s="8"/>
      <c r="I1600" s="8"/>
    </row>
    <row r="1601" spans="1:10" x14ac:dyDescent="0.25">
      <c r="A1601" s="18" t="s">
        <v>1079</v>
      </c>
      <c r="B1601" s="18" t="s">
        <v>353</v>
      </c>
      <c r="C1601" s="4" t="s">
        <v>77</v>
      </c>
      <c r="D1601" s="93" t="s">
        <v>1374</v>
      </c>
      <c r="E1601" s="93" t="s">
        <v>1374</v>
      </c>
      <c r="F1601" s="8"/>
      <c r="G1601" s="8"/>
      <c r="H1601" s="8"/>
      <c r="I1601" s="8"/>
    </row>
    <row r="1602" spans="1:10" x14ac:dyDescent="0.25">
      <c r="A1602" s="18" t="s">
        <v>1079</v>
      </c>
      <c r="B1602" s="18" t="s">
        <v>353</v>
      </c>
      <c r="C1602" s="4" t="s">
        <v>77</v>
      </c>
      <c r="D1602" s="93" t="s">
        <v>1371</v>
      </c>
      <c r="E1602" s="93" t="s">
        <v>1371</v>
      </c>
      <c r="F1602" s="8"/>
      <c r="G1602" s="8"/>
      <c r="H1602" s="8"/>
      <c r="I1602" s="8"/>
    </row>
    <row r="1603" spans="1:10" x14ac:dyDescent="0.25">
      <c r="A1603" s="18" t="s">
        <v>1079</v>
      </c>
      <c r="B1603" s="18" t="s">
        <v>353</v>
      </c>
      <c r="C1603" s="4" t="s">
        <v>77</v>
      </c>
      <c r="D1603" s="93" t="s">
        <v>1373</v>
      </c>
      <c r="E1603" s="93" t="s">
        <v>1373</v>
      </c>
      <c r="F1603" s="8"/>
      <c r="G1603" s="8"/>
      <c r="H1603" s="8"/>
      <c r="I1603" s="8"/>
    </row>
    <row r="1604" spans="1:10" x14ac:dyDescent="0.25">
      <c r="A1604" s="18" t="s">
        <v>1079</v>
      </c>
      <c r="B1604" s="18" t="s">
        <v>353</v>
      </c>
      <c r="C1604" s="4" t="s">
        <v>77</v>
      </c>
      <c r="D1604" s="94" t="s">
        <v>105</v>
      </c>
      <c r="E1604" s="94" t="s">
        <v>105</v>
      </c>
      <c r="F1604" s="8"/>
      <c r="G1604" s="8"/>
      <c r="H1604" s="8"/>
      <c r="I1604" s="8"/>
    </row>
    <row r="1605" spans="1:10" ht="30" x14ac:dyDescent="0.25">
      <c r="A1605" s="65" t="s">
        <v>1079</v>
      </c>
      <c r="B1605" s="65" t="s">
        <v>353</v>
      </c>
      <c r="C1605" s="66" t="s">
        <v>95</v>
      </c>
      <c r="D1605" s="65" t="str">
        <f>I1605&amp;".txt"</f>
        <v>RATM_tender-export.txt</v>
      </c>
      <c r="E1605" s="65" t="s">
        <v>81</v>
      </c>
      <c r="F1605" s="16"/>
      <c r="G1605" s="16" t="s">
        <v>29</v>
      </c>
      <c r="H1605" s="16" t="s">
        <v>1139</v>
      </c>
      <c r="I1605" s="16" t="s">
        <v>1140</v>
      </c>
    </row>
    <row r="1607" spans="1:10" ht="30" x14ac:dyDescent="0.25">
      <c r="A1607" s="4" t="s">
        <v>846</v>
      </c>
      <c r="B1607" s="4" t="s">
        <v>848</v>
      </c>
      <c r="C1607" s="4" t="s">
        <v>77</v>
      </c>
      <c r="D1607" s="16" t="s">
        <v>439</v>
      </c>
      <c r="E1607" s="16" t="s">
        <v>439</v>
      </c>
      <c r="G1607" s="8"/>
      <c r="H1607" s="8"/>
      <c r="I1607" s="8"/>
    </row>
    <row r="1608" spans="1:10" ht="30" x14ac:dyDescent="0.25">
      <c r="A1608" s="4" t="s">
        <v>846</v>
      </c>
      <c r="B1608" s="4" t="s">
        <v>848</v>
      </c>
      <c r="C1608" s="4" t="s">
        <v>77</v>
      </c>
      <c r="D1608" s="16" t="s">
        <v>110</v>
      </c>
      <c r="E1608" s="16" t="s">
        <v>110</v>
      </c>
      <c r="F1608" s="39"/>
      <c r="G1608" s="8"/>
      <c r="H1608" s="8"/>
      <c r="I1608" s="8"/>
      <c r="J1608" s="39"/>
    </row>
    <row r="1609" spans="1:10" ht="30" x14ac:dyDescent="0.25">
      <c r="A1609" s="4" t="s">
        <v>846</v>
      </c>
      <c r="B1609" s="4" t="s">
        <v>848</v>
      </c>
      <c r="C1609" s="4" t="s">
        <v>77</v>
      </c>
      <c r="D1609" s="16" t="s">
        <v>850</v>
      </c>
      <c r="E1609" s="16" t="s">
        <v>850</v>
      </c>
      <c r="G1609" s="8"/>
      <c r="H1609" s="8"/>
      <c r="I1609" s="8"/>
    </row>
    <row r="1610" spans="1:10" ht="30" x14ac:dyDescent="0.25">
      <c r="A1610" s="4" t="s">
        <v>846</v>
      </c>
      <c r="B1610" s="4" t="s">
        <v>848</v>
      </c>
      <c r="C1610" s="4" t="s">
        <v>77</v>
      </c>
      <c r="D1610" s="16" t="s">
        <v>160</v>
      </c>
      <c r="E1610" s="16" t="s">
        <v>160</v>
      </c>
      <c r="G1610" s="8"/>
      <c r="H1610" s="8"/>
      <c r="I1610" s="8"/>
    </row>
    <row r="1611" spans="1:10" ht="30" x14ac:dyDescent="0.25">
      <c r="A1611" s="4" t="s">
        <v>846</v>
      </c>
      <c r="B1611" s="4" t="s">
        <v>848</v>
      </c>
      <c r="C1611" s="4" t="s">
        <v>77</v>
      </c>
      <c r="D1611" s="16" t="s">
        <v>87</v>
      </c>
      <c r="E1611" s="16" t="s">
        <v>87</v>
      </c>
      <c r="G1611" s="8"/>
      <c r="H1611" s="8"/>
      <c r="I1611" s="8"/>
    </row>
    <row r="1612" spans="1:10" ht="30" x14ac:dyDescent="0.25">
      <c r="A1612" s="4" t="s">
        <v>846</v>
      </c>
      <c r="B1612" s="4" t="s">
        <v>848</v>
      </c>
      <c r="C1612" s="4" t="s">
        <v>77</v>
      </c>
      <c r="D1612" s="16" t="s">
        <v>88</v>
      </c>
      <c r="E1612" s="16" t="s">
        <v>88</v>
      </c>
      <c r="G1612" s="8"/>
      <c r="H1612" s="8"/>
      <c r="I1612" s="8"/>
    </row>
    <row r="1613" spans="1:10" ht="30" x14ac:dyDescent="0.25">
      <c r="A1613" s="4" t="s">
        <v>846</v>
      </c>
      <c r="B1613" s="4" t="s">
        <v>848</v>
      </c>
      <c r="C1613" s="4" t="s">
        <v>77</v>
      </c>
      <c r="D1613" s="16" t="s">
        <v>99</v>
      </c>
      <c r="E1613" s="16" t="s">
        <v>99</v>
      </c>
      <c r="G1613" s="8"/>
      <c r="H1613" s="8"/>
      <c r="I1613" s="8"/>
    </row>
    <row r="1614" spans="1:10" ht="30" x14ac:dyDescent="0.25">
      <c r="A1614" s="4" t="s">
        <v>846</v>
      </c>
      <c r="B1614" s="4" t="s">
        <v>848</v>
      </c>
      <c r="C1614" s="4" t="s">
        <v>77</v>
      </c>
      <c r="D1614" s="16" t="s">
        <v>840</v>
      </c>
      <c r="E1614" s="16" t="s">
        <v>840</v>
      </c>
      <c r="G1614" s="8"/>
      <c r="H1614" s="8"/>
      <c r="I1614" s="8"/>
    </row>
    <row r="1615" spans="1:10" ht="30" x14ac:dyDescent="0.25">
      <c r="A1615" s="4" t="s">
        <v>846</v>
      </c>
      <c r="B1615" s="4" t="s">
        <v>848</v>
      </c>
      <c r="C1615" s="4" t="s">
        <v>77</v>
      </c>
      <c r="D1615" s="16" t="s">
        <v>851</v>
      </c>
      <c r="E1615" s="16" t="s">
        <v>851</v>
      </c>
      <c r="G1615" s="8"/>
      <c r="H1615" s="8"/>
      <c r="I1615" s="8"/>
    </row>
    <row r="1616" spans="1:10" ht="30" x14ac:dyDescent="0.25">
      <c r="A1616" s="4" t="s">
        <v>846</v>
      </c>
      <c r="B1616" s="4" t="s">
        <v>848</v>
      </c>
      <c r="C1616" s="4" t="s">
        <v>77</v>
      </c>
      <c r="D1616" s="16" t="s">
        <v>852</v>
      </c>
      <c r="E1616" s="16" t="s">
        <v>852</v>
      </c>
      <c r="G1616" s="8"/>
      <c r="H1616" s="8"/>
      <c r="I1616" s="8"/>
    </row>
    <row r="1617" spans="1:9" ht="30" x14ac:dyDescent="0.25">
      <c r="A1617" s="4" t="s">
        <v>846</v>
      </c>
      <c r="B1617" s="4" t="s">
        <v>848</v>
      </c>
      <c r="C1617" s="4" t="s">
        <v>77</v>
      </c>
      <c r="D1617" s="16" t="s">
        <v>97</v>
      </c>
      <c r="E1617" s="16" t="s">
        <v>97</v>
      </c>
      <c r="G1617" s="8"/>
      <c r="H1617" s="8"/>
      <c r="I1617" s="8"/>
    </row>
    <row r="1618" spans="1:9" ht="30" x14ac:dyDescent="0.25">
      <c r="A1618" s="4" t="s">
        <v>846</v>
      </c>
      <c r="B1618" s="4" t="s">
        <v>848</v>
      </c>
      <c r="C1618" s="4" t="s">
        <v>77</v>
      </c>
      <c r="D1618" s="16" t="s">
        <v>107</v>
      </c>
      <c r="E1618" s="16" t="s">
        <v>107</v>
      </c>
      <c r="G1618" s="8"/>
      <c r="H1618" s="8"/>
      <c r="I1618" s="8"/>
    </row>
    <row r="1619" spans="1:9" ht="30" x14ac:dyDescent="0.25">
      <c r="A1619" s="4" t="s">
        <v>846</v>
      </c>
      <c r="B1619" s="4" t="s">
        <v>848</v>
      </c>
      <c r="C1619" s="4" t="s">
        <v>77</v>
      </c>
      <c r="D1619" s="16" t="s">
        <v>853</v>
      </c>
      <c r="E1619" s="16" t="s">
        <v>853</v>
      </c>
      <c r="G1619" s="8"/>
      <c r="H1619" s="8"/>
      <c r="I1619" s="8"/>
    </row>
    <row r="1620" spans="1:9" ht="30" x14ac:dyDescent="0.25">
      <c r="A1620" s="4" t="s">
        <v>846</v>
      </c>
      <c r="B1620" s="4" t="s">
        <v>848</v>
      </c>
      <c r="C1620" s="4" t="s">
        <v>77</v>
      </c>
      <c r="D1620" s="16" t="s">
        <v>381</v>
      </c>
      <c r="E1620" s="16" t="s">
        <v>381</v>
      </c>
      <c r="G1620" s="8"/>
      <c r="H1620" s="8"/>
      <c r="I1620" s="8"/>
    </row>
    <row r="1621" spans="1:9" ht="30" x14ac:dyDescent="0.25">
      <c r="A1621" s="4" t="s">
        <v>846</v>
      </c>
      <c r="B1621" s="4" t="s">
        <v>848</v>
      </c>
      <c r="C1621" s="4" t="s">
        <v>77</v>
      </c>
      <c r="D1621" s="16" t="s">
        <v>854</v>
      </c>
      <c r="E1621" s="16" t="s">
        <v>854</v>
      </c>
      <c r="G1621" s="8"/>
      <c r="H1621" s="8"/>
      <c r="I1621" s="8"/>
    </row>
    <row r="1622" spans="1:9" ht="30" x14ac:dyDescent="0.25">
      <c r="A1622" s="4" t="s">
        <v>846</v>
      </c>
      <c r="B1622" s="4" t="s">
        <v>848</v>
      </c>
      <c r="C1622" s="4" t="s">
        <v>95</v>
      </c>
      <c r="D1622" s="16" t="e">
        <f>I1622&amp;".txt"</f>
        <v>#REF!</v>
      </c>
      <c r="E1622" s="3"/>
      <c r="F1622" s="3"/>
      <c r="G1622" s="16" t="s">
        <v>836</v>
      </c>
      <c r="H1622" s="16" t="s">
        <v>848</v>
      </c>
      <c r="I1622" s="16" t="e">
        <f>VLOOKUP(A1622&amp;G1622&amp;H1622,#REF!,2,FALSE)</f>
        <v>#REF!</v>
      </c>
    </row>
    <row r="1623" spans="1:9" x14ac:dyDescent="0.25">
      <c r="G1623" s="8"/>
      <c r="H1623" s="8"/>
      <c r="I1623" s="8"/>
    </row>
    <row r="1624" spans="1:9" x14ac:dyDescent="0.25">
      <c r="A1624" s="4" t="s">
        <v>846</v>
      </c>
      <c r="B1624" s="4" t="s">
        <v>353</v>
      </c>
      <c r="C1624" s="4" t="s">
        <v>77</v>
      </c>
      <c r="D1624" s="16" t="s">
        <v>84</v>
      </c>
      <c r="E1624" s="16" t="s">
        <v>81</v>
      </c>
      <c r="F1624" s="3"/>
      <c r="G1624" s="8"/>
      <c r="H1624" s="8"/>
      <c r="I1624" s="8"/>
    </row>
    <row r="1625" spans="1:9" x14ac:dyDescent="0.25">
      <c r="A1625" s="4" t="s">
        <v>846</v>
      </c>
      <c r="B1625" s="4" t="s">
        <v>353</v>
      </c>
      <c r="C1625" s="4" t="s">
        <v>77</v>
      </c>
      <c r="D1625" s="16" t="s">
        <v>82</v>
      </c>
      <c r="E1625" s="16" t="s">
        <v>79</v>
      </c>
      <c r="F1625" s="3"/>
      <c r="G1625" s="8"/>
      <c r="H1625" s="8"/>
      <c r="I1625" s="8"/>
    </row>
    <row r="1626" spans="1:9" x14ac:dyDescent="0.25">
      <c r="A1626" s="4" t="s">
        <v>846</v>
      </c>
      <c r="B1626" s="4" t="s">
        <v>353</v>
      </c>
      <c r="C1626" s="4" t="s">
        <v>77</v>
      </c>
      <c r="D1626" s="16" t="s">
        <v>85</v>
      </c>
      <c r="E1626" s="16" t="s">
        <v>85</v>
      </c>
      <c r="F1626" s="3"/>
      <c r="G1626" s="8"/>
      <c r="H1626" s="8"/>
      <c r="I1626" s="8"/>
    </row>
    <row r="1627" spans="1:9" x14ac:dyDescent="0.25">
      <c r="A1627" s="4" t="s">
        <v>846</v>
      </c>
      <c r="B1627" s="4" t="s">
        <v>353</v>
      </c>
      <c r="C1627" s="4" t="s">
        <v>77</v>
      </c>
      <c r="D1627" s="16" t="s">
        <v>86</v>
      </c>
      <c r="E1627" s="16" t="s">
        <v>87</v>
      </c>
      <c r="F1627" s="3"/>
      <c r="G1627" s="8"/>
      <c r="H1627" s="8"/>
      <c r="I1627" s="8"/>
    </row>
    <row r="1628" spans="1:9" x14ac:dyDescent="0.25">
      <c r="A1628" s="4" t="s">
        <v>846</v>
      </c>
      <c r="B1628" s="4" t="s">
        <v>353</v>
      </c>
      <c r="C1628" s="4" t="s">
        <v>77</v>
      </c>
      <c r="D1628" s="16" t="s">
        <v>88</v>
      </c>
      <c r="E1628" s="16" t="s">
        <v>88</v>
      </c>
      <c r="F1628" s="3"/>
      <c r="G1628" s="8"/>
      <c r="H1628" s="8"/>
      <c r="I1628" s="8"/>
    </row>
    <row r="1629" spans="1:9" x14ac:dyDescent="0.25">
      <c r="A1629" s="4" t="s">
        <v>846</v>
      </c>
      <c r="B1629" s="4" t="s">
        <v>353</v>
      </c>
      <c r="C1629" s="4" t="s">
        <v>77</v>
      </c>
      <c r="D1629" s="16" t="s">
        <v>99</v>
      </c>
      <c r="E1629" s="16" t="s">
        <v>99</v>
      </c>
      <c r="F1629" s="3"/>
      <c r="G1629" s="8"/>
      <c r="H1629" s="8"/>
      <c r="I1629" s="8"/>
    </row>
    <row r="1630" spans="1:9" x14ac:dyDescent="0.25">
      <c r="A1630" s="4" t="s">
        <v>846</v>
      </c>
      <c r="B1630" s="4" t="s">
        <v>353</v>
      </c>
      <c r="C1630" s="4" t="s">
        <v>77</v>
      </c>
      <c r="D1630" s="16" t="s">
        <v>100</v>
      </c>
      <c r="E1630" s="16" t="s">
        <v>101</v>
      </c>
      <c r="F1630" s="3"/>
      <c r="G1630" s="8"/>
      <c r="H1630" s="8"/>
      <c r="I1630" s="8"/>
    </row>
    <row r="1631" spans="1:9" x14ac:dyDescent="0.25">
      <c r="A1631" s="4" t="s">
        <v>846</v>
      </c>
      <c r="B1631" s="4" t="s">
        <v>353</v>
      </c>
      <c r="C1631" s="4" t="s">
        <v>77</v>
      </c>
      <c r="D1631" s="16" t="s">
        <v>102</v>
      </c>
      <c r="E1631" s="16" t="s">
        <v>102</v>
      </c>
      <c r="F1631" s="3"/>
      <c r="G1631" s="8"/>
      <c r="H1631" s="8"/>
      <c r="I1631" s="8"/>
    </row>
    <row r="1632" spans="1:9" ht="30" x14ac:dyDescent="0.25">
      <c r="A1632" s="4" t="s">
        <v>846</v>
      </c>
      <c r="B1632" s="4" t="s">
        <v>353</v>
      </c>
      <c r="C1632" s="4" t="s">
        <v>77</v>
      </c>
      <c r="D1632" s="16" t="s">
        <v>354</v>
      </c>
      <c r="E1632" s="16" t="s">
        <v>79</v>
      </c>
      <c r="F1632" s="16" t="s">
        <v>104</v>
      </c>
      <c r="G1632" s="8"/>
      <c r="H1632" s="8"/>
      <c r="I1632" s="8"/>
    </row>
    <row r="1633" spans="1:9" x14ac:dyDescent="0.25">
      <c r="A1633" s="4" t="s">
        <v>846</v>
      </c>
      <c r="B1633" s="4" t="s">
        <v>353</v>
      </c>
      <c r="C1633" s="4" t="s">
        <v>77</v>
      </c>
      <c r="D1633" s="16" t="s">
        <v>107</v>
      </c>
      <c r="E1633" s="16" t="s">
        <v>89</v>
      </c>
      <c r="F1633" s="3"/>
      <c r="G1633" s="8"/>
      <c r="H1633" s="8"/>
      <c r="I1633" s="8"/>
    </row>
    <row r="1634" spans="1:9" x14ac:dyDescent="0.25">
      <c r="A1634" s="4" t="s">
        <v>846</v>
      </c>
      <c r="B1634" s="4" t="s">
        <v>353</v>
      </c>
      <c r="C1634" s="4" t="s">
        <v>77</v>
      </c>
      <c r="D1634" s="16" t="s">
        <v>355</v>
      </c>
      <c r="E1634" s="16" t="s">
        <v>355</v>
      </c>
      <c r="F1634" s="3"/>
      <c r="G1634" s="8"/>
      <c r="H1634" s="8"/>
      <c r="I1634" s="8"/>
    </row>
    <row r="1635" spans="1:9" x14ac:dyDescent="0.25">
      <c r="A1635" s="4" t="s">
        <v>846</v>
      </c>
      <c r="B1635" s="4" t="s">
        <v>353</v>
      </c>
      <c r="C1635" s="4" t="s">
        <v>77</v>
      </c>
      <c r="D1635" s="16" t="s">
        <v>356</v>
      </c>
      <c r="E1635" s="16" t="s">
        <v>356</v>
      </c>
      <c r="F1635" s="3"/>
      <c r="G1635" s="8"/>
      <c r="H1635" s="8"/>
      <c r="I1635" s="8"/>
    </row>
    <row r="1636" spans="1:9" x14ac:dyDescent="0.25">
      <c r="A1636" s="4" t="s">
        <v>846</v>
      </c>
      <c r="B1636" s="4" t="s">
        <v>353</v>
      </c>
      <c r="C1636" s="4" t="s">
        <v>77</v>
      </c>
      <c r="D1636" s="16" t="s">
        <v>357</v>
      </c>
      <c r="E1636" s="16" t="s">
        <v>357</v>
      </c>
      <c r="F1636" s="3"/>
      <c r="G1636" s="8"/>
      <c r="H1636" s="8"/>
      <c r="I1636" s="8"/>
    </row>
    <row r="1637" spans="1:9" x14ac:dyDescent="0.25">
      <c r="A1637" s="4" t="s">
        <v>846</v>
      </c>
      <c r="B1637" s="4" t="s">
        <v>353</v>
      </c>
      <c r="C1637" s="4" t="s">
        <v>77</v>
      </c>
      <c r="D1637" s="16" t="s">
        <v>358</v>
      </c>
      <c r="E1637" s="16" t="s">
        <v>358</v>
      </c>
      <c r="F1637" s="3"/>
      <c r="G1637" s="8"/>
      <c r="H1637" s="8"/>
      <c r="I1637" s="8"/>
    </row>
    <row r="1638" spans="1:9" x14ac:dyDescent="0.25">
      <c r="A1638" s="4" t="s">
        <v>846</v>
      </c>
      <c r="B1638" s="4" t="s">
        <v>353</v>
      </c>
      <c r="C1638" s="4" t="s">
        <v>77</v>
      </c>
      <c r="D1638" s="16" t="s">
        <v>359</v>
      </c>
      <c r="E1638" s="16" t="s">
        <v>359</v>
      </c>
      <c r="F1638" s="3"/>
      <c r="G1638" s="8"/>
      <c r="H1638" s="8"/>
      <c r="I1638" s="8"/>
    </row>
    <row r="1639" spans="1:9" x14ac:dyDescent="0.25">
      <c r="A1639" s="4" t="s">
        <v>846</v>
      </c>
      <c r="B1639" s="4" t="s">
        <v>353</v>
      </c>
      <c r="C1639" s="4" t="s">
        <v>77</v>
      </c>
      <c r="D1639" s="16" t="s">
        <v>360</v>
      </c>
      <c r="E1639" s="16" t="s">
        <v>360</v>
      </c>
      <c r="F1639" s="3"/>
      <c r="G1639" s="8"/>
      <c r="H1639" s="8"/>
      <c r="I1639" s="8"/>
    </row>
    <row r="1640" spans="1:9" x14ac:dyDescent="0.25">
      <c r="A1640" s="4" t="s">
        <v>846</v>
      </c>
      <c r="B1640" s="4" t="s">
        <v>353</v>
      </c>
      <c r="C1640" s="4" t="s">
        <v>77</v>
      </c>
      <c r="D1640" s="16" t="s">
        <v>361</v>
      </c>
      <c r="E1640" s="16" t="s">
        <v>361</v>
      </c>
      <c r="F1640" s="3"/>
      <c r="G1640" s="8"/>
      <c r="H1640" s="8"/>
      <c r="I1640" s="8"/>
    </row>
    <row r="1641" spans="1:9" x14ac:dyDescent="0.25">
      <c r="A1641" s="4" t="s">
        <v>846</v>
      </c>
      <c r="B1641" s="4" t="s">
        <v>353</v>
      </c>
      <c r="C1641" s="4" t="s">
        <v>95</v>
      </c>
      <c r="D1641" s="16" t="e">
        <f>I1641&amp;".txt"</f>
        <v>#REF!</v>
      </c>
      <c r="E1641" s="16" t="s">
        <v>81</v>
      </c>
      <c r="F1641" s="3"/>
      <c r="G1641" s="16" t="s">
        <v>29</v>
      </c>
      <c r="H1641" s="16" t="s">
        <v>353</v>
      </c>
      <c r="I1641" s="16" t="e">
        <f>VLOOKUP(A1641&amp;G1641&amp;H1641,#REF!,2,FALSE)</f>
        <v>#REF!</v>
      </c>
    </row>
    <row r="1642" spans="1:9" x14ac:dyDescent="0.25">
      <c r="G1642" s="8"/>
      <c r="H1642" s="8"/>
      <c r="I1642" s="8"/>
    </row>
    <row r="1643" spans="1:9" x14ac:dyDescent="0.25">
      <c r="G1643" s="8"/>
      <c r="H1643" s="8"/>
      <c r="I1643" s="8"/>
    </row>
    <row r="1644" spans="1:9" x14ac:dyDescent="0.25">
      <c r="A1644" s="4" t="s">
        <v>1141</v>
      </c>
      <c r="B1644" s="4" t="s">
        <v>259</v>
      </c>
      <c r="C1644" s="4" t="s">
        <v>77</v>
      </c>
      <c r="D1644" s="22" t="s">
        <v>749</v>
      </c>
      <c r="E1644" s="22" t="s">
        <v>203</v>
      </c>
      <c r="F1644" s="3"/>
      <c r="G1644" s="8"/>
      <c r="H1644" s="8"/>
      <c r="I1644" s="8"/>
    </row>
    <row r="1645" spans="1:9" x14ac:dyDescent="0.25">
      <c r="A1645" s="4" t="s">
        <v>1141</v>
      </c>
      <c r="B1645" s="4" t="s">
        <v>259</v>
      </c>
      <c r="C1645" s="4" t="s">
        <v>77</v>
      </c>
      <c r="D1645" s="22" t="s">
        <v>729</v>
      </c>
      <c r="E1645" s="22" t="s">
        <v>203</v>
      </c>
      <c r="F1645" s="3"/>
      <c r="G1645" s="8"/>
      <c r="H1645" s="8"/>
      <c r="I1645" s="8"/>
    </row>
    <row r="1646" spans="1:9" x14ac:dyDescent="0.25">
      <c r="A1646" s="4" t="s">
        <v>1141</v>
      </c>
      <c r="B1646" s="4" t="s">
        <v>259</v>
      </c>
      <c r="C1646" s="4" t="s">
        <v>77</v>
      </c>
      <c r="D1646" s="22" t="s">
        <v>750</v>
      </c>
      <c r="E1646" s="22" t="s">
        <v>203</v>
      </c>
      <c r="F1646" s="3"/>
      <c r="G1646" s="8"/>
      <c r="H1646" s="8"/>
      <c r="I1646" s="8"/>
    </row>
    <row r="1647" spans="1:9" x14ac:dyDescent="0.25">
      <c r="A1647" s="4" t="s">
        <v>1141</v>
      </c>
      <c r="B1647" s="4" t="s">
        <v>259</v>
      </c>
      <c r="C1647" s="4" t="s">
        <v>77</v>
      </c>
      <c r="D1647" s="22" t="s">
        <v>751</v>
      </c>
      <c r="E1647" s="22" t="s">
        <v>203</v>
      </c>
      <c r="F1647" s="3"/>
      <c r="G1647" s="8"/>
      <c r="H1647" s="8"/>
      <c r="I1647" s="8"/>
    </row>
    <row r="1648" spans="1:9" x14ac:dyDescent="0.25">
      <c r="A1648" s="4" t="s">
        <v>1141</v>
      </c>
      <c r="B1648" s="4" t="s">
        <v>259</v>
      </c>
      <c r="C1648" s="4" t="s">
        <v>77</v>
      </c>
      <c r="D1648" s="22" t="s">
        <v>752</v>
      </c>
      <c r="E1648" s="22" t="s">
        <v>203</v>
      </c>
      <c r="F1648" s="3"/>
      <c r="G1648" s="8"/>
      <c r="H1648" s="8"/>
      <c r="I1648" s="8"/>
    </row>
    <row r="1649" spans="1:9" x14ac:dyDescent="0.25">
      <c r="A1649" s="4" t="s">
        <v>1141</v>
      </c>
      <c r="B1649" s="4" t="s">
        <v>259</v>
      </c>
      <c r="C1649" s="4" t="s">
        <v>77</v>
      </c>
      <c r="D1649" s="22" t="s">
        <v>733</v>
      </c>
      <c r="E1649" s="22" t="s">
        <v>203</v>
      </c>
      <c r="F1649" s="3"/>
      <c r="G1649" s="8"/>
      <c r="H1649" s="8"/>
      <c r="I1649" s="8"/>
    </row>
    <row r="1650" spans="1:9" x14ac:dyDescent="0.25">
      <c r="A1650" s="4" t="s">
        <v>1141</v>
      </c>
      <c r="B1650" s="4" t="s">
        <v>259</v>
      </c>
      <c r="C1650" s="4" t="s">
        <v>77</v>
      </c>
      <c r="D1650" s="22" t="s">
        <v>734</v>
      </c>
      <c r="E1650" s="22" t="s">
        <v>203</v>
      </c>
      <c r="F1650" s="3"/>
      <c r="G1650" s="8"/>
      <c r="H1650" s="8"/>
      <c r="I1650" s="8"/>
    </row>
    <row r="1651" spans="1:9" x14ac:dyDescent="0.25">
      <c r="A1651" s="4" t="s">
        <v>1141</v>
      </c>
      <c r="B1651" s="4" t="s">
        <v>259</v>
      </c>
      <c r="C1651" s="4" t="s">
        <v>77</v>
      </c>
      <c r="D1651" s="22" t="s">
        <v>753</v>
      </c>
      <c r="E1651" s="22" t="s">
        <v>203</v>
      </c>
      <c r="F1651" s="3"/>
      <c r="G1651" s="8"/>
      <c r="H1651" s="8"/>
      <c r="I1651" s="8"/>
    </row>
    <row r="1652" spans="1:9" x14ac:dyDescent="0.25">
      <c r="A1652" s="4" t="s">
        <v>1141</v>
      </c>
      <c r="B1652" s="4" t="s">
        <v>259</v>
      </c>
      <c r="C1652" s="4" t="s">
        <v>77</v>
      </c>
      <c r="D1652" s="22" t="s">
        <v>754</v>
      </c>
      <c r="E1652" s="22" t="s">
        <v>203</v>
      </c>
      <c r="F1652" s="3"/>
      <c r="G1652" s="8"/>
      <c r="H1652" s="8"/>
      <c r="I1652" s="8"/>
    </row>
    <row r="1653" spans="1:9" x14ac:dyDescent="0.25">
      <c r="A1653" s="4" t="s">
        <v>1141</v>
      </c>
      <c r="B1653" s="4" t="s">
        <v>259</v>
      </c>
      <c r="C1653" s="4" t="s">
        <v>77</v>
      </c>
      <c r="D1653" s="22" t="s">
        <v>878</v>
      </c>
      <c r="E1653" s="22" t="s">
        <v>203</v>
      </c>
      <c r="F1653" s="3"/>
      <c r="G1653" s="8"/>
      <c r="H1653" s="8"/>
      <c r="I1653" s="8"/>
    </row>
    <row r="1654" spans="1:9" x14ac:dyDescent="0.25">
      <c r="A1654" s="4" t="s">
        <v>1141</v>
      </c>
      <c r="B1654" s="4" t="s">
        <v>259</v>
      </c>
      <c r="C1654" s="4" t="s">
        <v>77</v>
      </c>
      <c r="D1654" s="22" t="s">
        <v>946</v>
      </c>
      <c r="E1654" s="22" t="s">
        <v>203</v>
      </c>
      <c r="F1654" s="3"/>
      <c r="G1654" s="8"/>
      <c r="H1654" s="8"/>
      <c r="I1654" s="8"/>
    </row>
    <row r="1655" spans="1:9" x14ac:dyDescent="0.25">
      <c r="A1655" s="4" t="s">
        <v>1141</v>
      </c>
      <c r="B1655" s="4" t="s">
        <v>259</v>
      </c>
      <c r="C1655" s="4" t="s">
        <v>77</v>
      </c>
      <c r="D1655" s="16" t="s">
        <v>477</v>
      </c>
      <c r="E1655" s="16" t="s">
        <v>477</v>
      </c>
      <c r="F1655" s="3"/>
      <c r="G1655" s="8"/>
      <c r="H1655" s="8"/>
      <c r="I1655" s="8"/>
    </row>
    <row r="1656" spans="1:9" x14ac:dyDescent="0.25">
      <c r="A1656" s="4" t="s">
        <v>1141</v>
      </c>
      <c r="B1656" s="4" t="s">
        <v>259</v>
      </c>
      <c r="C1656" s="4" t="s">
        <v>77</v>
      </c>
      <c r="D1656" s="16" t="s">
        <v>84</v>
      </c>
      <c r="E1656" s="16" t="s">
        <v>81</v>
      </c>
      <c r="F1656" s="3"/>
      <c r="G1656" s="8"/>
      <c r="H1656" s="8"/>
      <c r="I1656" s="8"/>
    </row>
    <row r="1657" spans="1:9" x14ac:dyDescent="0.25">
      <c r="A1657" s="4" t="s">
        <v>1141</v>
      </c>
      <c r="B1657" s="4" t="s">
        <v>259</v>
      </c>
      <c r="C1657" s="4" t="s">
        <v>77</v>
      </c>
      <c r="D1657" s="16" t="s">
        <v>82</v>
      </c>
      <c r="E1657" s="16" t="s">
        <v>79</v>
      </c>
      <c r="F1657" s="3"/>
      <c r="G1657" s="8"/>
      <c r="H1657" s="8"/>
      <c r="I1657" s="8"/>
    </row>
    <row r="1658" spans="1:9" x14ac:dyDescent="0.25">
      <c r="A1658" s="4" t="s">
        <v>1141</v>
      </c>
      <c r="B1658" s="4" t="s">
        <v>259</v>
      </c>
      <c r="C1658" s="4" t="s">
        <v>77</v>
      </c>
      <c r="D1658" s="16" t="s">
        <v>85</v>
      </c>
      <c r="E1658" s="16" t="s">
        <v>85</v>
      </c>
      <c r="F1658" s="3"/>
      <c r="G1658" s="8"/>
      <c r="H1658" s="8"/>
      <c r="I1658" s="8"/>
    </row>
    <row r="1659" spans="1:9" x14ac:dyDescent="0.25">
      <c r="A1659" s="4" t="s">
        <v>1141</v>
      </c>
      <c r="B1659" s="4" t="s">
        <v>259</v>
      </c>
      <c r="C1659" s="4" t="s">
        <v>77</v>
      </c>
      <c r="D1659" s="16" t="s">
        <v>86</v>
      </c>
      <c r="E1659" s="16" t="s">
        <v>87</v>
      </c>
      <c r="F1659" s="3"/>
      <c r="G1659" s="8"/>
      <c r="H1659" s="8"/>
      <c r="I1659" s="8"/>
    </row>
    <row r="1660" spans="1:9" x14ac:dyDescent="0.25">
      <c r="A1660" s="4" t="s">
        <v>1141</v>
      </c>
      <c r="B1660" s="4" t="s">
        <v>259</v>
      </c>
      <c r="C1660" s="4" t="s">
        <v>77</v>
      </c>
      <c r="D1660" s="16" t="s">
        <v>88</v>
      </c>
      <c r="E1660" s="16" t="s">
        <v>88</v>
      </c>
      <c r="F1660" s="3"/>
      <c r="G1660" s="8"/>
      <c r="H1660" s="8"/>
      <c r="I1660" s="8"/>
    </row>
    <row r="1661" spans="1:9" x14ac:dyDescent="0.25">
      <c r="A1661" s="4" t="s">
        <v>1141</v>
      </c>
      <c r="B1661" s="4" t="s">
        <v>259</v>
      </c>
      <c r="C1661" s="4" t="s">
        <v>77</v>
      </c>
      <c r="D1661" s="16" t="s">
        <v>97</v>
      </c>
      <c r="E1661" s="16" t="s">
        <v>98</v>
      </c>
      <c r="F1661" s="3"/>
      <c r="G1661" s="8"/>
      <c r="H1661" s="8"/>
      <c r="I1661" s="8"/>
    </row>
    <row r="1662" spans="1:9" x14ac:dyDescent="0.25">
      <c r="A1662" s="4" t="s">
        <v>1141</v>
      </c>
      <c r="B1662" s="4" t="s">
        <v>259</v>
      </c>
      <c r="C1662" s="4" t="s">
        <v>77</v>
      </c>
      <c r="D1662" s="16" t="s">
        <v>99</v>
      </c>
      <c r="E1662" s="16" t="s">
        <v>99</v>
      </c>
      <c r="F1662" s="3"/>
      <c r="G1662" s="8"/>
      <c r="H1662" s="8"/>
      <c r="I1662" s="8"/>
    </row>
    <row r="1663" spans="1:9" x14ac:dyDescent="0.25">
      <c r="A1663" s="4" t="s">
        <v>1141</v>
      </c>
      <c r="B1663" s="4" t="s">
        <v>259</v>
      </c>
      <c r="C1663" s="4" t="s">
        <v>77</v>
      </c>
      <c r="D1663" s="16" t="s">
        <v>100</v>
      </c>
      <c r="E1663" s="16" t="s">
        <v>101</v>
      </c>
      <c r="F1663" s="3"/>
      <c r="G1663" s="8"/>
      <c r="H1663" s="8"/>
      <c r="I1663" s="8"/>
    </row>
    <row r="1664" spans="1:9" x14ac:dyDescent="0.25">
      <c r="A1664" s="4" t="s">
        <v>1141</v>
      </c>
      <c r="B1664" s="4" t="s">
        <v>259</v>
      </c>
      <c r="C1664" s="4" t="s">
        <v>77</v>
      </c>
      <c r="D1664" s="16" t="s">
        <v>102</v>
      </c>
      <c r="E1664" s="16" t="s">
        <v>102</v>
      </c>
      <c r="F1664" s="3"/>
      <c r="G1664" s="8"/>
      <c r="H1664" s="8"/>
      <c r="I1664" s="8"/>
    </row>
    <row r="1665" spans="1:9" x14ac:dyDescent="0.25">
      <c r="A1665" s="4" t="s">
        <v>1141</v>
      </c>
      <c r="B1665" s="4" t="s">
        <v>259</v>
      </c>
      <c r="C1665" s="4" t="s">
        <v>77</v>
      </c>
      <c r="D1665" s="16" t="s">
        <v>25</v>
      </c>
      <c r="E1665" s="16" t="s">
        <v>333</v>
      </c>
      <c r="F1665" s="3"/>
      <c r="G1665" s="8"/>
      <c r="H1665" s="8"/>
      <c r="I1665" s="8"/>
    </row>
    <row r="1666" spans="1:9" x14ac:dyDescent="0.25">
      <c r="A1666" s="4" t="s">
        <v>1141</v>
      </c>
      <c r="B1666" s="4" t="s">
        <v>259</v>
      </c>
      <c r="C1666" s="4" t="s">
        <v>77</v>
      </c>
      <c r="D1666" s="16" t="s">
        <v>103</v>
      </c>
      <c r="E1666" s="16" t="s">
        <v>335</v>
      </c>
      <c r="F1666" s="3"/>
      <c r="G1666" s="8"/>
      <c r="H1666" s="8"/>
      <c r="I1666" s="8"/>
    </row>
    <row r="1667" spans="1:9" x14ac:dyDescent="0.25">
      <c r="A1667" s="4" t="s">
        <v>1141</v>
      </c>
      <c r="B1667" s="4" t="s">
        <v>259</v>
      </c>
      <c r="C1667" s="4" t="s">
        <v>77</v>
      </c>
      <c r="D1667" s="16" t="s">
        <v>419</v>
      </c>
      <c r="E1667" s="16" t="s">
        <v>419</v>
      </c>
      <c r="F1667" s="3"/>
      <c r="G1667" s="8"/>
      <c r="H1667" s="8"/>
      <c r="I1667" s="8"/>
    </row>
    <row r="1668" spans="1:9" ht="30" x14ac:dyDescent="0.25">
      <c r="A1668" s="4" t="s">
        <v>1141</v>
      </c>
      <c r="B1668" s="4" t="s">
        <v>259</v>
      </c>
      <c r="C1668" s="4" t="s">
        <v>95</v>
      </c>
      <c r="D1668" s="16" t="e">
        <f>I1668&amp;".txt"</f>
        <v>#REF!</v>
      </c>
      <c r="E1668" s="16" t="s">
        <v>81</v>
      </c>
      <c r="F1668" s="3"/>
      <c r="G1668" s="16" t="s">
        <v>29</v>
      </c>
      <c r="H1668" s="16" t="s">
        <v>59</v>
      </c>
      <c r="I1668" s="16" t="e">
        <f>VLOOKUP(A1668&amp;G1668&amp;H1668,#REF!,2,FALSE)</f>
        <v>#REF!</v>
      </c>
    </row>
    <row r="1671" spans="1:9" x14ac:dyDescent="0.25">
      <c r="B1671" t="s">
        <v>1470</v>
      </c>
      <c r="C1671" t="s">
        <v>1470</v>
      </c>
    </row>
    <row r="1672" spans="1:9" x14ac:dyDescent="0.25">
      <c r="B1672" t="s">
        <v>1470</v>
      </c>
      <c r="C1672" t="s">
        <v>1470</v>
      </c>
    </row>
    <row r="1673" spans="1:9" x14ac:dyDescent="0.25">
      <c r="B1673" t="s">
        <v>1470</v>
      </c>
      <c r="C1673" t="s">
        <v>1470</v>
      </c>
    </row>
  </sheetData>
  <autoFilter ref="D504:F507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_xludf.Execute">
                <anchor moveWithCells="1" sizeWithCells="1">
                  <from>
                    <xdr:col>3</xdr:col>
                    <xdr:colOff>714375</xdr:colOff>
                    <xdr:row>0</xdr:row>
                    <xdr:rowOff>19050</xdr:rowOff>
                  </from>
                  <to>
                    <xdr:col>3</xdr:col>
                    <xdr:colOff>2676525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A078-7DBB-4F58-B499-116C52E367EF}">
  <sheetPr codeName="Sheet7"/>
  <dimension ref="A1:G35"/>
  <sheetViews>
    <sheetView zoomScale="130" zoomScaleNormal="130" workbookViewId="0">
      <selection activeCell="C3" sqref="C3"/>
    </sheetView>
  </sheetViews>
  <sheetFormatPr defaultRowHeight="15" x14ac:dyDescent="0.25"/>
  <cols>
    <col min="1" max="1" width="16" customWidth="1"/>
    <col min="2" max="2" width="27.28515625" bestFit="1" customWidth="1"/>
    <col min="3" max="3" width="45.85546875" customWidth="1"/>
    <col min="4" max="4" width="25.42578125" customWidth="1"/>
    <col min="5" max="5" width="30.5703125" customWidth="1"/>
    <col min="6" max="6" width="23.42578125" bestFit="1" customWidth="1"/>
  </cols>
  <sheetData>
    <row r="1" spans="1:7" x14ac:dyDescent="0.25">
      <c r="A1" s="2" t="s">
        <v>1</v>
      </c>
      <c r="B1" s="2" t="s">
        <v>0</v>
      </c>
      <c r="C1" s="2" t="s">
        <v>345</v>
      </c>
      <c r="D1" s="2" t="s">
        <v>387</v>
      </c>
      <c r="E1" s="2" t="s">
        <v>388</v>
      </c>
      <c r="G1" s="2" t="s">
        <v>548</v>
      </c>
    </row>
    <row r="2" spans="1:7" x14ac:dyDescent="0.25">
      <c r="A2" s="3" t="s">
        <v>1079</v>
      </c>
      <c r="B2" s="3" t="s">
        <v>1077</v>
      </c>
      <c r="C2" s="3" t="s">
        <v>1078</v>
      </c>
      <c r="D2" s="12" t="str">
        <f t="shared" ref="D2" si="0">"\"&amp;F2</f>
        <v>\jhgrei.clm.ibmcloud.com</v>
      </c>
      <c r="E2" s="12" t="str">
        <f t="shared" ref="E2" si="1">"https://"&amp;F2</f>
        <v>https://jhgrei.clm.ibmcloud.com</v>
      </c>
      <c r="F2" s="12" t="s">
        <v>464</v>
      </c>
      <c r="G2" s="3" t="s">
        <v>588</v>
      </c>
    </row>
    <row r="3" spans="1:7" ht="30" x14ac:dyDescent="0.25">
      <c r="A3" s="3" t="s">
        <v>435</v>
      </c>
      <c r="B3" s="3" t="s">
        <v>437</v>
      </c>
      <c r="C3" s="3" t="s">
        <v>436</v>
      </c>
      <c r="D3" s="12" t="str">
        <f t="shared" ref="D3:D34" si="2">"\"&amp;F3</f>
        <v>\jhgrei.clm.ibmcloud.com</v>
      </c>
      <c r="E3" s="12" t="str">
        <f t="shared" ref="E3:E34" si="3">"https://"&amp;F3</f>
        <v>https://jhgrei.clm.ibmcloud.com</v>
      </c>
      <c r="F3" s="12" t="s">
        <v>464</v>
      </c>
      <c r="G3" s="3" t="s">
        <v>588</v>
      </c>
    </row>
    <row r="4" spans="1:7" ht="30" x14ac:dyDescent="0.25">
      <c r="A4" s="3" t="s">
        <v>1042</v>
      </c>
      <c r="B4" s="3" t="s">
        <v>1044</v>
      </c>
      <c r="C4" s="3" t="s">
        <v>1045</v>
      </c>
      <c r="D4" s="12" t="str">
        <f t="shared" si="2"/>
        <v>\jhgrei.clm.ibmcloud.com</v>
      </c>
      <c r="E4" s="12" t="str">
        <f t="shared" si="3"/>
        <v>https://jhgrei.clm.ibmcloud.com</v>
      </c>
      <c r="F4" s="12" t="s">
        <v>464</v>
      </c>
      <c r="G4" s="3" t="s">
        <v>588</v>
      </c>
    </row>
    <row r="5" spans="1:7" ht="30" x14ac:dyDescent="0.25">
      <c r="A5" s="3" t="s">
        <v>1042</v>
      </c>
      <c r="B5" s="3" t="s">
        <v>1044</v>
      </c>
      <c r="C5" s="3" t="s">
        <v>1045</v>
      </c>
      <c r="D5" s="12" t="str">
        <f t="shared" si="2"/>
        <v>\jhgrei.clm.ibmcloud.com</v>
      </c>
      <c r="E5" s="12" t="str">
        <f t="shared" si="3"/>
        <v>https://jhgrei.clm.ibmcloud.com</v>
      </c>
      <c r="F5" s="12" t="s">
        <v>464</v>
      </c>
      <c r="G5" s="3" t="s">
        <v>588</v>
      </c>
    </row>
    <row r="6" spans="1:7" x14ac:dyDescent="0.25">
      <c r="A6" s="3" t="s">
        <v>1169</v>
      </c>
      <c r="B6" s="3" t="s">
        <v>1174</v>
      </c>
      <c r="C6" s="3" t="s">
        <v>1186</v>
      </c>
      <c r="D6" s="12" t="str">
        <f t="shared" si="2"/>
        <v>\artcir.clm.ibmcloud.com</v>
      </c>
      <c r="E6" s="12" t="str">
        <f t="shared" si="3"/>
        <v>https://artcir.clm.ibmcloud.com</v>
      </c>
      <c r="F6" s="12" t="s">
        <v>1171</v>
      </c>
      <c r="G6" s="3" t="s">
        <v>588</v>
      </c>
    </row>
    <row r="7" spans="1:7" x14ac:dyDescent="0.25">
      <c r="A7" s="3" t="s">
        <v>1173</v>
      </c>
      <c r="B7" s="3" t="s">
        <v>1172</v>
      </c>
      <c r="C7" s="3" t="s">
        <v>1170</v>
      </c>
      <c r="D7" s="12" t="str">
        <f t="shared" si="2"/>
        <v>\artcir.clm.ibmcloud.com</v>
      </c>
      <c r="E7" s="12" t="str">
        <f t="shared" si="3"/>
        <v>https://artcir.clm.ibmcloud.com</v>
      </c>
      <c r="F7" s="12" t="s">
        <v>1171</v>
      </c>
      <c r="G7" s="3" t="s">
        <v>588</v>
      </c>
    </row>
    <row r="8" spans="1:7" ht="30" x14ac:dyDescent="0.25">
      <c r="A8" s="3" t="s">
        <v>340</v>
      </c>
      <c r="B8" s="3" t="s">
        <v>349</v>
      </c>
      <c r="C8" s="3" t="s">
        <v>650</v>
      </c>
      <c r="D8" s="12" t="str">
        <f t="shared" si="2"/>
        <v>\jhgrei.clm.ibmcloud.com</v>
      </c>
      <c r="E8" s="12" t="str">
        <f t="shared" si="3"/>
        <v>https://jhgrei.clm.ibmcloud.com</v>
      </c>
      <c r="F8" s="12" t="s">
        <v>464</v>
      </c>
      <c r="G8" s="3" t="s">
        <v>588</v>
      </c>
    </row>
    <row r="9" spans="1:7" ht="30" x14ac:dyDescent="0.25">
      <c r="A9" s="3" t="s">
        <v>763</v>
      </c>
      <c r="B9" s="3" t="s">
        <v>762</v>
      </c>
      <c r="C9" s="3" t="s">
        <v>764</v>
      </c>
      <c r="D9" s="12" t="str">
        <f t="shared" ref="D9" si="4">"\"&amp;F9</f>
        <v>\jhgrei.clm.ibmcloud.com</v>
      </c>
      <c r="E9" s="12" t="str">
        <f t="shared" ref="E9" si="5">"https://"&amp;F9</f>
        <v>https://jhgrei.clm.ibmcloud.com</v>
      </c>
      <c r="F9" s="12" t="s">
        <v>464</v>
      </c>
      <c r="G9" s="3" t="s">
        <v>588</v>
      </c>
    </row>
    <row r="10" spans="1:7" ht="30" x14ac:dyDescent="0.25">
      <c r="A10" s="3" t="s">
        <v>1055</v>
      </c>
      <c r="B10" s="3" t="s">
        <v>1057</v>
      </c>
      <c r="C10" s="3" t="s">
        <v>1056</v>
      </c>
      <c r="D10" s="12" t="str">
        <f t="shared" si="2"/>
        <v>\jhgrei.clm.ibmcloud.com</v>
      </c>
      <c r="E10" s="12" t="str">
        <f t="shared" si="3"/>
        <v>https://jhgrei.clm.ibmcloud.com</v>
      </c>
      <c r="F10" s="12" t="s">
        <v>464</v>
      </c>
      <c r="G10" s="3" t="s">
        <v>588</v>
      </c>
    </row>
    <row r="11" spans="1:7" x14ac:dyDescent="0.25">
      <c r="A11" s="3" t="s">
        <v>604</v>
      </c>
      <c r="B11" s="3" t="s">
        <v>605</v>
      </c>
      <c r="C11" s="3" t="s">
        <v>607</v>
      </c>
      <c r="D11" s="12" t="str">
        <f t="shared" ref="D11" si="6">"\"&amp;F11</f>
        <v>\jhgrei.clm.ibmcloud.com</v>
      </c>
      <c r="E11" s="12" t="str">
        <f t="shared" ref="E11" si="7">"https://"&amp;F11</f>
        <v>https://jhgrei.clm.ibmcloud.com</v>
      </c>
      <c r="F11" s="12" t="s">
        <v>464</v>
      </c>
      <c r="G11" s="3" t="s">
        <v>588</v>
      </c>
    </row>
    <row r="12" spans="1:7" x14ac:dyDescent="0.25">
      <c r="A12" s="3" t="s">
        <v>884</v>
      </c>
      <c r="B12" s="3" t="s">
        <v>886</v>
      </c>
      <c r="C12" s="3" t="s">
        <v>885</v>
      </c>
      <c r="D12" s="12" t="str">
        <f t="shared" si="2"/>
        <v>\jhgrei.clm.ibmcloud.com</v>
      </c>
      <c r="E12" s="12" t="str">
        <f t="shared" si="3"/>
        <v>https://jhgrei.clm.ibmcloud.com</v>
      </c>
      <c r="F12" s="12" t="s">
        <v>464</v>
      </c>
      <c r="G12" s="3" t="s">
        <v>588</v>
      </c>
    </row>
    <row r="13" spans="1:7" x14ac:dyDescent="0.25">
      <c r="A13" s="3" t="s">
        <v>11</v>
      </c>
      <c r="B13" s="3" t="s">
        <v>72</v>
      </c>
      <c r="C13" s="3" t="s">
        <v>346</v>
      </c>
      <c r="D13" s="12" t="str">
        <f t="shared" si="2"/>
        <v>\jhgrei.clm.ibmcloud.com</v>
      </c>
      <c r="E13" s="12" t="str">
        <f t="shared" si="3"/>
        <v>https://jhgrei.clm.ibmcloud.com</v>
      </c>
      <c r="F13" s="12" t="s">
        <v>464</v>
      </c>
      <c r="G13" s="3" t="s">
        <v>588</v>
      </c>
    </row>
    <row r="14" spans="1:7" x14ac:dyDescent="0.25">
      <c r="A14" s="15" t="s">
        <v>375</v>
      </c>
      <c r="B14" s="15" t="s">
        <v>374</v>
      </c>
      <c r="C14" s="15" t="s">
        <v>373</v>
      </c>
      <c r="D14" s="12" t="str">
        <f t="shared" si="2"/>
        <v>\jhgrei.clm.ibmcloud.com</v>
      </c>
      <c r="E14" s="12" t="str">
        <f t="shared" si="3"/>
        <v>https://jhgrei.clm.ibmcloud.com</v>
      </c>
      <c r="F14" s="12" t="s">
        <v>464</v>
      </c>
      <c r="G14" s="3" t="s">
        <v>588</v>
      </c>
    </row>
    <row r="15" spans="1:7" x14ac:dyDescent="0.25">
      <c r="A15" s="3" t="s">
        <v>402</v>
      </c>
      <c r="B15" s="3" t="s">
        <v>404</v>
      </c>
      <c r="C15" s="3" t="s">
        <v>403</v>
      </c>
      <c r="D15" s="12" t="str">
        <f t="shared" si="2"/>
        <v>\jhgrei.clm.ibmcloud.com</v>
      </c>
      <c r="E15" s="12" t="str">
        <f t="shared" si="3"/>
        <v>https://jhgrei.clm.ibmcloud.com</v>
      </c>
      <c r="F15" s="12" t="s">
        <v>464</v>
      </c>
      <c r="G15" s="3" t="s">
        <v>588</v>
      </c>
    </row>
    <row r="16" spans="1:7" ht="30" x14ac:dyDescent="0.25">
      <c r="A16" s="3" t="s">
        <v>600</v>
      </c>
      <c r="B16" s="3" t="s">
        <v>598</v>
      </c>
      <c r="C16" s="3" t="s">
        <v>599</v>
      </c>
      <c r="D16" s="105" t="str">
        <f t="shared" ref="D16:D17" si="8">"\"&amp;F16</f>
        <v>\jhgrei.clm.ibmcloud.com</v>
      </c>
      <c r="E16" s="105" t="str">
        <f t="shared" ref="E16:E17" si="9">"https://"&amp;F16</f>
        <v>https://jhgrei.clm.ibmcloud.com</v>
      </c>
      <c r="F16" s="105" t="s">
        <v>464</v>
      </c>
      <c r="G16" s="3" t="s">
        <v>588</v>
      </c>
    </row>
    <row r="17" spans="1:7" ht="30" x14ac:dyDescent="0.25">
      <c r="A17" s="3" t="s">
        <v>1318</v>
      </c>
      <c r="B17" s="3" t="s">
        <v>1422</v>
      </c>
      <c r="C17" s="3" t="s">
        <v>1419</v>
      </c>
      <c r="D17" s="12" t="str">
        <f t="shared" si="8"/>
        <v>\artcir.clm.ibmcloud.com</v>
      </c>
      <c r="E17" s="12" t="str">
        <f t="shared" si="9"/>
        <v>https://artcir.clm.ibmcloud.com</v>
      </c>
      <c r="F17" s="12" t="s">
        <v>1171</v>
      </c>
      <c r="G17" s="3" t="s">
        <v>588</v>
      </c>
    </row>
    <row r="18" spans="1:7" x14ac:dyDescent="0.25">
      <c r="A18" s="3" t="s">
        <v>1299</v>
      </c>
      <c r="B18" s="3" t="s">
        <v>1316</v>
      </c>
      <c r="C18" s="3" t="s">
        <v>1317</v>
      </c>
      <c r="D18" s="12" t="str">
        <f t="shared" si="2"/>
        <v>\artcir.clm.ibmcloud.com</v>
      </c>
      <c r="E18" s="12" t="str">
        <f t="shared" si="3"/>
        <v>https://artcir.clm.ibmcloud.com</v>
      </c>
      <c r="F18" s="12" t="s">
        <v>1171</v>
      </c>
      <c r="G18" s="3" t="s">
        <v>588</v>
      </c>
    </row>
    <row r="19" spans="1:7" ht="30" x14ac:dyDescent="0.25">
      <c r="A19" s="3" t="s">
        <v>651</v>
      </c>
      <c r="B19" s="3" t="s">
        <v>652</v>
      </c>
      <c r="C19" s="3" t="s">
        <v>651</v>
      </c>
      <c r="D19" s="12" t="str">
        <f t="shared" si="2"/>
        <v>\jhgrei.clm.ibmcloud.com</v>
      </c>
      <c r="E19" s="12" t="str">
        <f t="shared" si="3"/>
        <v>https://jhgrei.clm.ibmcloud.com</v>
      </c>
      <c r="F19" s="12" t="s">
        <v>464</v>
      </c>
      <c r="G19" s="3" t="s">
        <v>588</v>
      </c>
    </row>
    <row r="20" spans="1:7" ht="30" x14ac:dyDescent="0.25">
      <c r="A20" s="3" t="s">
        <v>924</v>
      </c>
      <c r="B20" s="3" t="s">
        <v>926</v>
      </c>
      <c r="C20" s="3" t="s">
        <v>925</v>
      </c>
      <c r="D20" s="12" t="s">
        <v>929</v>
      </c>
      <c r="E20" s="12" t="s">
        <v>930</v>
      </c>
      <c r="F20" s="12" t="s">
        <v>464</v>
      </c>
      <c r="G20" s="3" t="s">
        <v>588</v>
      </c>
    </row>
    <row r="21" spans="1:7" x14ac:dyDescent="0.25">
      <c r="A21" s="3" t="s">
        <v>1376</v>
      </c>
      <c r="B21" s="3" t="s">
        <v>1391</v>
      </c>
      <c r="C21" s="3" t="s">
        <v>1392</v>
      </c>
      <c r="D21" s="12" t="s">
        <v>929</v>
      </c>
      <c r="E21" s="12" t="s">
        <v>930</v>
      </c>
      <c r="F21" s="12" t="s">
        <v>464</v>
      </c>
      <c r="G21" s="3" t="s">
        <v>588</v>
      </c>
    </row>
    <row r="22" spans="1:7" x14ac:dyDescent="0.25">
      <c r="A22" s="3" t="s">
        <v>427</v>
      </c>
      <c r="B22" s="3" t="s">
        <v>429</v>
      </c>
      <c r="C22" s="3" t="s">
        <v>427</v>
      </c>
      <c r="D22" s="12" t="str">
        <f t="shared" si="2"/>
        <v>\jhgrei.clm.ibmcloud.com</v>
      </c>
      <c r="E22" s="12" t="str">
        <f t="shared" si="3"/>
        <v>https://jhgrei.clm.ibmcloud.com</v>
      </c>
      <c r="F22" s="12" t="s">
        <v>464</v>
      </c>
      <c r="G22" s="3" t="s">
        <v>588</v>
      </c>
    </row>
    <row r="23" spans="1:7" ht="30" x14ac:dyDescent="0.25">
      <c r="A23" s="3" t="s">
        <v>14</v>
      </c>
      <c r="B23" s="3" t="s">
        <v>416</v>
      </c>
      <c r="C23" s="3" t="s">
        <v>347</v>
      </c>
      <c r="D23" s="12" t="str">
        <f t="shared" si="2"/>
        <v>\jhgrei.clm.ibmcloud.com</v>
      </c>
      <c r="E23" s="12" t="str">
        <f t="shared" si="3"/>
        <v>https://jhgrei.clm.ibmcloud.com</v>
      </c>
      <c r="F23" s="12" t="s">
        <v>464</v>
      </c>
      <c r="G23" s="3" t="s">
        <v>588</v>
      </c>
    </row>
    <row r="24" spans="1:7" x14ac:dyDescent="0.25">
      <c r="A24" s="3" t="s">
        <v>535</v>
      </c>
      <c r="B24" s="3" t="s">
        <v>536</v>
      </c>
      <c r="C24" s="3" t="s">
        <v>537</v>
      </c>
      <c r="D24" s="12" t="str">
        <f t="shared" si="2"/>
        <v>\ajmjv.clm.ibmcloud.com</v>
      </c>
      <c r="E24" s="12" t="str">
        <f t="shared" si="3"/>
        <v>https://ajmjv.clm.ibmcloud.com</v>
      </c>
      <c r="F24" s="12" t="s">
        <v>465</v>
      </c>
      <c r="G24" s="3" t="s">
        <v>549</v>
      </c>
    </row>
    <row r="25" spans="1:7" x14ac:dyDescent="0.25">
      <c r="A25" s="3" t="s">
        <v>523</v>
      </c>
      <c r="B25" s="3" t="s">
        <v>524</v>
      </c>
      <c r="C25" s="3" t="s">
        <v>525</v>
      </c>
      <c r="D25" s="12" t="str">
        <f t="shared" si="2"/>
        <v>\ajmjv.clm.ibmcloud.com</v>
      </c>
      <c r="E25" s="12" t="str">
        <f t="shared" si="3"/>
        <v>https://ajmjv.clm.ibmcloud.com</v>
      </c>
      <c r="F25" s="12" t="s">
        <v>465</v>
      </c>
      <c r="G25" s="3" t="s">
        <v>549</v>
      </c>
    </row>
    <row r="26" spans="1:7" x14ac:dyDescent="0.25">
      <c r="A26" s="3" t="s">
        <v>13</v>
      </c>
      <c r="B26" s="3" t="s">
        <v>71</v>
      </c>
      <c r="C26" s="3" t="s">
        <v>348</v>
      </c>
      <c r="D26" s="12" t="str">
        <f t="shared" si="2"/>
        <v>\jhgrei.clm.ibmcloud.com</v>
      </c>
      <c r="E26" s="12" t="str">
        <f t="shared" si="3"/>
        <v>https://jhgrei.clm.ibmcloud.com</v>
      </c>
      <c r="F26" s="12" t="s">
        <v>464</v>
      </c>
      <c r="G26" s="3" t="s">
        <v>588</v>
      </c>
    </row>
    <row r="27" spans="1:7" x14ac:dyDescent="0.25">
      <c r="A27" s="3" t="s">
        <v>456</v>
      </c>
      <c r="B27" s="3" t="s">
        <v>457</v>
      </c>
      <c r="C27" s="3" t="s">
        <v>458</v>
      </c>
      <c r="D27" s="12" t="str">
        <f t="shared" si="2"/>
        <v>\jhgrei.clm.ibmcloud.com</v>
      </c>
      <c r="E27" s="12" t="str">
        <f t="shared" si="3"/>
        <v>https://jhgrei.clm.ibmcloud.com</v>
      </c>
      <c r="F27" s="12" t="s">
        <v>464</v>
      </c>
      <c r="G27" s="3" t="s">
        <v>588</v>
      </c>
    </row>
    <row r="28" spans="1:7" ht="30" x14ac:dyDescent="0.25">
      <c r="A28" s="3" t="s">
        <v>880</v>
      </c>
      <c r="B28" s="3" t="s">
        <v>881</v>
      </c>
      <c r="C28" s="3" t="s">
        <v>883</v>
      </c>
      <c r="D28" s="12" t="str">
        <f t="shared" ref="D28" si="10">"\"&amp;F28</f>
        <v>\jhgrei.clm.ibmcloud.com</v>
      </c>
      <c r="E28" s="12" t="str">
        <f t="shared" ref="E28" si="11">"https://"&amp;F28</f>
        <v>https://jhgrei.clm.ibmcloud.com</v>
      </c>
      <c r="F28" s="12" t="s">
        <v>464</v>
      </c>
      <c r="G28" s="3" t="s">
        <v>588</v>
      </c>
    </row>
    <row r="29" spans="1:7" x14ac:dyDescent="0.25">
      <c r="A29" s="3" t="s">
        <v>1146</v>
      </c>
      <c r="B29" s="3" t="s">
        <v>1145</v>
      </c>
      <c r="C29" s="3" t="s">
        <v>1147</v>
      </c>
      <c r="D29" s="12" t="str">
        <f t="shared" ref="D29" si="12">"\"&amp;F29</f>
        <v>\jhgrei.clm.ibmcloud.com</v>
      </c>
      <c r="E29" s="12" t="str">
        <f t="shared" ref="E29" si="13">"https://"&amp;F29</f>
        <v>https://jhgrei.clm.ibmcloud.com</v>
      </c>
      <c r="F29" s="12" t="s">
        <v>464</v>
      </c>
      <c r="G29" s="3" t="s">
        <v>588</v>
      </c>
    </row>
    <row r="30" spans="1:7" ht="30" x14ac:dyDescent="0.25">
      <c r="A30" s="3" t="s">
        <v>541</v>
      </c>
      <c r="B30" s="3" t="s">
        <v>747</v>
      </c>
      <c r="C30" s="3" t="s">
        <v>748</v>
      </c>
      <c r="D30" s="12" t="str">
        <f t="shared" si="2"/>
        <v>\ajmjv.clm.ibmcloud.com</v>
      </c>
      <c r="E30" s="12" t="str">
        <f t="shared" si="3"/>
        <v>https://ajmjv.clm.ibmcloud.com</v>
      </c>
      <c r="F30" s="12" t="s">
        <v>465</v>
      </c>
      <c r="G30" s="3" t="s">
        <v>588</v>
      </c>
    </row>
    <row r="31" spans="1:7" ht="30" x14ac:dyDescent="0.25">
      <c r="A31" s="3" t="s">
        <v>698</v>
      </c>
      <c r="B31" s="3" t="s">
        <v>701</v>
      </c>
      <c r="C31" s="3" t="s">
        <v>699</v>
      </c>
      <c r="D31" s="12" t="str">
        <f t="shared" si="2"/>
        <v>\downergroup.clm.ibmcloud.com</v>
      </c>
      <c r="E31" s="12" t="str">
        <f t="shared" si="3"/>
        <v>https://downergroup.clm.ibmcloud.com</v>
      </c>
      <c r="F31" s="12" t="s">
        <v>700</v>
      </c>
      <c r="G31" s="3" t="s">
        <v>588</v>
      </c>
    </row>
    <row r="32" spans="1:7" x14ac:dyDescent="0.25">
      <c r="A32" s="3" t="s">
        <v>380</v>
      </c>
      <c r="B32" s="3" t="s">
        <v>384</v>
      </c>
      <c r="C32" s="3" t="s">
        <v>385</v>
      </c>
      <c r="D32" s="12" t="str">
        <f t="shared" si="2"/>
        <v>\ajmjv.clm.ibmcloud.com</v>
      </c>
      <c r="E32" s="12" t="str">
        <f t="shared" si="3"/>
        <v>https://ajmjv.clm.ibmcloud.com</v>
      </c>
      <c r="F32" s="12" t="s">
        <v>465</v>
      </c>
      <c r="G32" s="3" t="s">
        <v>588</v>
      </c>
    </row>
    <row r="33" spans="1:7" x14ac:dyDescent="0.25">
      <c r="A33" s="3" t="s">
        <v>478</v>
      </c>
      <c r="B33" s="3" t="s">
        <v>479</v>
      </c>
      <c r="C33" s="3" t="s">
        <v>480</v>
      </c>
      <c r="D33" s="12" t="str">
        <f t="shared" si="2"/>
        <v>\jhgrei.clm.ibmcloud.com</v>
      </c>
      <c r="E33" s="12" t="str">
        <f t="shared" si="3"/>
        <v>https://jhgrei.clm.ibmcloud.com</v>
      </c>
      <c r="F33" s="12" t="s">
        <v>464</v>
      </c>
      <c r="G33" s="3" t="s">
        <v>588</v>
      </c>
    </row>
    <row r="34" spans="1:7" x14ac:dyDescent="0.25">
      <c r="A34" s="3" t="s">
        <v>846</v>
      </c>
      <c r="B34" s="3" t="s">
        <v>877</v>
      </c>
      <c r="C34" s="3" t="s">
        <v>849</v>
      </c>
      <c r="D34" s="12" t="str">
        <f t="shared" si="2"/>
        <v>\jhgrei.clm.ibmcloud.com</v>
      </c>
      <c r="E34" s="12" t="str">
        <f t="shared" si="3"/>
        <v>https://jhgrei.clm.ibmcloud.com</v>
      </c>
      <c r="F34" s="12" t="s">
        <v>464</v>
      </c>
      <c r="G34" s="3" t="s">
        <v>588</v>
      </c>
    </row>
    <row r="35" spans="1:7" x14ac:dyDescent="0.25">
      <c r="A35" s="3" t="s">
        <v>1141</v>
      </c>
      <c r="B35" s="3" t="s">
        <v>1143</v>
      </c>
      <c r="C35" s="3" t="s">
        <v>1142</v>
      </c>
      <c r="D35" s="12" t="str">
        <f t="shared" ref="D35" si="14">"\"&amp;F35</f>
        <v>\jhgrei.clm.ibmcloud.com</v>
      </c>
      <c r="E35" s="12" t="str">
        <f t="shared" ref="E35" si="15">"https://"&amp;F35</f>
        <v>https://jhgrei.clm.ibmcloud.com</v>
      </c>
      <c r="F35" s="12" t="s">
        <v>464</v>
      </c>
      <c r="G35" s="3" t="s">
        <v>588</v>
      </c>
    </row>
  </sheetData>
  <sortState xmlns:xlrd2="http://schemas.microsoft.com/office/spreadsheetml/2017/richdata2" ref="A3:G33">
    <sortCondition ref="A3:A33"/>
  </sortState>
  <hyperlinks>
    <hyperlink ref="E8" r:id="rId1" display="https://jhgrei.clm.ibmcloud.com" xr:uid="{DA11E523-6EE4-430D-9014-7CD2BA81AEFE}"/>
    <hyperlink ref="E8:E19" r:id="rId2" display="https://jhgrei.clm.ibmcloud.com" xr:uid="{967AEEFF-026F-4BCA-8947-5A7D11E3580B}"/>
    <hyperlink ref="E14" r:id="rId3" display="https://jhgrei.clm.ibmcloud.com" xr:uid="{59554A05-B8E5-458B-B4E3-9C4D8C013CF4}"/>
    <hyperlink ref="E22" r:id="rId4" display="https://jhgrei.clm.ibmcloud.com" xr:uid="{969488BD-9764-404B-90CF-B2CFBBE117AE}"/>
    <hyperlink ref="E19:E30" r:id="rId5" display="https://jhgrei.clm.ibmcloud.com" xr:uid="{1E711F88-675C-4F4C-BF9C-2905902D3261}"/>
    <hyperlink ref="D24" r:id="rId6" display="https://ajmjv.clm.ibmcloud.com" xr:uid="{5420A5E6-41CF-4CDF-AA35-8B8F6F2B0596}"/>
    <hyperlink ref="D25" r:id="rId7" display="https://ajmjv.clm.ibmcloud.com" xr:uid="{B778F3D1-1D44-419A-8DB1-78FE05412E48}"/>
    <hyperlink ref="E25" r:id="rId8" display="https://jhgrei.clm.ibmcloud.com" xr:uid="{05FF573D-3DBC-48FC-807D-6B08669DB4C6}"/>
    <hyperlink ref="D33" r:id="rId9" display="https://ajmjv.clm.ibmcloud.com" xr:uid="{9BF55651-2B28-49C3-BD80-17F8502EBE03}"/>
    <hyperlink ref="E12" r:id="rId10" display="https://jhgrei.clm.ibmcloud.com" xr:uid="{9091B200-F470-422B-BC0A-BD47898B8890}"/>
    <hyperlink ref="D12" r:id="rId11" display="https://ajmjv.clm.ibmcloud.com" xr:uid="{90FD372B-FF4B-40EB-AB88-72669A3AF1F6}"/>
    <hyperlink ref="D30" r:id="rId12" display="https://ajmjv.clm.ibmcloud.com" xr:uid="{5D559EAB-5C4E-4578-B70F-39AD9359087C}"/>
    <hyperlink ref="E30" r:id="rId13" display="https://jhgrei.clm.ibmcloud.com" xr:uid="{8550DEC7-A64E-4185-9CE1-EE42D0DA9E9B}"/>
    <hyperlink ref="E19" r:id="rId14" display="https://jhgrei.clm.ibmcloud.com" xr:uid="{AD8FAF4D-57CC-4783-A3E1-F65F346696B1}"/>
    <hyperlink ref="D19" r:id="rId15" display="https://ajmjv.clm.ibmcloud.com" xr:uid="{ACD0B22A-616C-47E6-99B3-C59C58CD3FD2}"/>
    <hyperlink ref="E31" r:id="rId16" display="https://downergroup.clm.ibmcloud.com" xr:uid="{D1BA7356-C458-46B1-98FA-5455C3A79242}"/>
    <hyperlink ref="F31" r:id="rId17" display="https://downergroup.clm.ibmcloud.com" xr:uid="{D32E1A7D-91B5-4421-BE7E-466C53C751A6}"/>
    <hyperlink ref="D31" r:id="rId18" display="https://ajmjv.clm.ibmcloud.com" xr:uid="{166B5B94-7BA4-4422-8E9D-804BBF32B96C}"/>
    <hyperlink ref="E32" r:id="rId19" display="https://jhgrei.clm.ibmcloud.com" xr:uid="{8F107EA6-C180-402B-8918-909112D798B4}"/>
    <hyperlink ref="D32" r:id="rId20" display="https://ajmjv.clm.ibmcloud.com" xr:uid="{B7EDB62E-5111-4830-A43E-72D4995D2753}"/>
    <hyperlink ref="E10" r:id="rId21" display="https://jhgrei.clm.ibmcloud.com" xr:uid="{D973FAB5-BC1E-4A26-B0F6-98D18A38C4DF}"/>
    <hyperlink ref="D10" r:id="rId22" display="https://ajmjv.clm.ibmcloud.com" xr:uid="{A3A1DA21-58F4-44A2-80F2-8211A23012D6}"/>
    <hyperlink ref="D34" r:id="rId23" display="https://ajmjv.clm.ibmcloud.com" xr:uid="{0DEE36C4-4837-4BEC-9D64-08A89E52F975}"/>
    <hyperlink ref="E28" r:id="rId24" display="https://jhgrei.clm.ibmcloud.com" xr:uid="{F2777296-3342-4695-8263-9D0F81CEAF28}"/>
    <hyperlink ref="D28" r:id="rId25" display="https://ajmjv.clm.ibmcloud.com" xr:uid="{3D686F72-97B5-416C-824A-9D429036AB2C}"/>
    <hyperlink ref="E11" r:id="rId26" display="https://jhgrei.clm.ibmcloud.com" xr:uid="{ADFEF355-B973-4074-8B74-A0262173352B}"/>
    <hyperlink ref="D11" r:id="rId27" display="https://ajmjv.clm.ibmcloud.com" xr:uid="{9EFCBDF7-AE79-4000-B4BE-4B0D09988AD2}"/>
    <hyperlink ref="E9" r:id="rId28" display="https://jhgrei.clm.ibmcloud.com" xr:uid="{0E255247-6AC4-40AE-845B-7223D6315355}"/>
    <hyperlink ref="D9" r:id="rId29" display="https://ajmjv.clm.ibmcloud.com" xr:uid="{532E5F88-809E-4418-A325-6794E90A9A69}"/>
    <hyperlink ref="D2" r:id="rId30" display="https://ajmjv.clm.ibmcloud.com" xr:uid="{2F951645-6146-45FB-A79C-DE5C664B4256}"/>
    <hyperlink ref="D35" r:id="rId31" display="https://ajmjv.clm.ibmcloud.com" xr:uid="{8A59D888-68C0-488D-8F4E-065EF97F692C}"/>
    <hyperlink ref="E29" r:id="rId32" display="https://jhgrei.clm.ibmcloud.com" xr:uid="{DB3A1C9B-08AD-4FA6-9CB3-24E8CD77F80B}"/>
    <hyperlink ref="D29" r:id="rId33" display="https://ajmjv.clm.ibmcloud.com" xr:uid="{1594B202-E786-42D5-BD8B-C089F473A452}"/>
    <hyperlink ref="D4:D7" r:id="rId34" display="https://ajmjv.clm.ibmcloud.com" xr:uid="{A4755C15-6E94-4B61-8138-B288663AD8F9}"/>
    <hyperlink ref="D7" r:id="rId35" display="https://ajmjv.clm.ibmcloud.com" xr:uid="{011F7A77-7419-424C-A161-AA0DC5E5B8B6}"/>
    <hyperlink ref="E7" r:id="rId36" display="https://jhgrei.clm.ibmcloud.com" xr:uid="{D74A5B6B-CE30-4332-9519-8872B47E75EE}"/>
    <hyperlink ref="D4" r:id="rId37" display="https://ajmjv.clm.ibmcloud.com" xr:uid="{4D17FD27-31EC-46E8-95B2-7B717297E8C1}"/>
    <hyperlink ref="E4" r:id="rId38" display="https://jhgrei.clm.ibmcloud.com" xr:uid="{643B9A06-6146-4C44-BBB8-26E5D725DBE2}"/>
    <hyperlink ref="D6" r:id="rId39" display="https://ajmjv.clm.ibmcloud.com" xr:uid="{6FEA1231-BD3D-4EF3-8C50-6AAE8DB94F46}"/>
    <hyperlink ref="E6" r:id="rId40" display="https://jhgrei.clm.ibmcloud.com" xr:uid="{689F3574-7462-4051-B77A-988B5D228727}"/>
    <hyperlink ref="D5" r:id="rId41" display="https://ajmjv.clm.ibmcloud.com" xr:uid="{934A65BE-DB7A-40B5-96D4-A4A66F6A8C4D}"/>
    <hyperlink ref="E5" r:id="rId42" display="https://jhgrei.clm.ibmcloud.com" xr:uid="{AAE69751-6462-45D2-8D2F-97BB68759FCC}"/>
    <hyperlink ref="E17:E18" r:id="rId43" display="https://jhgrei.clm.ibmcloud.com" xr:uid="{22819FB5-9D14-47EF-A017-27AFB6AD8AF1}"/>
    <hyperlink ref="D18" r:id="rId44" display="https://ajmjv.clm.ibmcloud.com" xr:uid="{DB09F52B-D309-4955-85CB-AC431EEE643F}"/>
    <hyperlink ref="E18" r:id="rId45" display="https://jhgrei.clm.ibmcloud.com" xr:uid="{4221E03D-B8E4-4D1C-A883-8461FD5F9BA4}"/>
    <hyperlink ref="E15" r:id="rId46" display="https://jhgrei.clm.ibmcloud.com" xr:uid="{F743293E-CED8-4730-BD83-2E6BEC49DD5B}"/>
    <hyperlink ref="E16" r:id="rId47" display="https://jhgrei.clm.ibmcloud.com" xr:uid="{D5B52EC1-40E5-4C70-A73C-3E68260C73D3}"/>
    <hyperlink ref="E17" r:id="rId48" display="https://jhgrei.clm.ibmcloud.com" xr:uid="{428AC73C-69C8-4821-92CF-429D5142A95A}"/>
    <hyperlink ref="D15" r:id="rId49" display="https://ajmjv.clm.ibmcloud.com" xr:uid="{40F936D7-9E9D-4B15-B8B3-4FD95275F1BB}"/>
    <hyperlink ref="D16" r:id="rId50" display="https://ajmjv.clm.ibmcloud.com" xr:uid="{048AA676-549A-4438-891A-D1A92C3768FE}"/>
    <hyperlink ref="D21" r:id="rId51" display="https://ajmjv.clm.ibmcloud.com" xr:uid="{E0B63350-9F48-4AC5-A601-9E003AE1DD4A}"/>
    <hyperlink ref="E21" r:id="rId52" xr:uid="{A726F543-8E25-4019-ACEA-93F754D5B227}"/>
    <hyperlink ref="D17" r:id="rId53" display="https://ajmjv.clm.ibmcloud.com" xr:uid="{7936F313-23D5-4F4F-B200-6C864B9B25CA}"/>
    <hyperlink ref="D17:D18" r:id="rId54" display="https://ajmjv.clm.ibmcloud.com" xr:uid="{8551C9EA-ED84-4FA8-A640-BDA6BB653B4B}"/>
    <hyperlink ref="D3:D24" r:id="rId55" display="https://ajmjv.clm.ibmcloud.com" xr:uid="{26B85570-6850-4EA4-912E-F00964BECC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FEC4-D805-47B4-980C-29863B74CA3F}">
  <sheetPr codeName="Sheet4"/>
  <dimension ref="A1:B127"/>
  <sheetViews>
    <sheetView topLeftCell="A52" workbookViewId="0">
      <selection activeCell="A63" sqref="A63"/>
    </sheetView>
  </sheetViews>
  <sheetFormatPr defaultRowHeight="15" x14ac:dyDescent="0.25"/>
  <cols>
    <col min="1" max="1" width="10.5703125" bestFit="1" customWidth="1"/>
    <col min="2" max="2" width="38" bestFit="1" customWidth="1"/>
  </cols>
  <sheetData>
    <row r="1" spans="1:2" x14ac:dyDescent="0.25">
      <c r="A1" s="2" t="s">
        <v>1</v>
      </c>
      <c r="B1" s="2" t="s">
        <v>39</v>
      </c>
    </row>
    <row r="2" spans="1:2" x14ac:dyDescent="0.25">
      <c r="A2" s="3" t="s">
        <v>1079</v>
      </c>
      <c r="B2" s="3" t="s">
        <v>29</v>
      </c>
    </row>
    <row r="3" spans="1:2" x14ac:dyDescent="0.25">
      <c r="A3" s="3" t="s">
        <v>435</v>
      </c>
      <c r="B3" s="3" t="s">
        <v>2</v>
      </c>
    </row>
    <row r="4" spans="1:2" x14ac:dyDescent="0.25">
      <c r="A4" s="3" t="s">
        <v>1042</v>
      </c>
      <c r="B4" s="3" t="s">
        <v>10</v>
      </c>
    </row>
    <row r="5" spans="1:2" x14ac:dyDescent="0.25">
      <c r="A5" s="3" t="s">
        <v>1042</v>
      </c>
      <c r="B5" s="3" t="s">
        <v>36</v>
      </c>
    </row>
    <row r="6" spans="1:2" x14ac:dyDescent="0.25">
      <c r="A6" s="3" t="s">
        <v>1042</v>
      </c>
      <c r="B6" s="3" t="s">
        <v>259</v>
      </c>
    </row>
    <row r="7" spans="1:2" x14ac:dyDescent="0.25">
      <c r="A7" s="3" t="s">
        <v>1042</v>
      </c>
      <c r="B7" s="3" t="s">
        <v>1189</v>
      </c>
    </row>
    <row r="8" spans="1:2" x14ac:dyDescent="0.25">
      <c r="A8" s="3" t="s">
        <v>1169</v>
      </c>
      <c r="B8" s="3" t="s">
        <v>1175</v>
      </c>
    </row>
    <row r="9" spans="1:2" x14ac:dyDescent="0.25">
      <c r="A9" s="3" t="s">
        <v>1169</v>
      </c>
      <c r="B9" s="3" t="s">
        <v>259</v>
      </c>
    </row>
    <row r="10" spans="1:2" x14ac:dyDescent="0.25">
      <c r="A10" s="3" t="s">
        <v>1169</v>
      </c>
      <c r="B10" s="3" t="s">
        <v>1189</v>
      </c>
    </row>
    <row r="11" spans="1:2" x14ac:dyDescent="0.25">
      <c r="A11" s="3" t="s">
        <v>1173</v>
      </c>
      <c r="B11" s="3" t="s">
        <v>259</v>
      </c>
    </row>
    <row r="12" spans="1:2" x14ac:dyDescent="0.25">
      <c r="A12" s="3" t="s">
        <v>1173</v>
      </c>
      <c r="B12" s="3" t="s">
        <v>1175</v>
      </c>
    </row>
    <row r="13" spans="1:2" x14ac:dyDescent="0.25">
      <c r="A13" s="3" t="s">
        <v>1173</v>
      </c>
      <c r="B13" s="3" t="s">
        <v>1189</v>
      </c>
    </row>
    <row r="14" spans="1:2" x14ac:dyDescent="0.25">
      <c r="A14" s="3" t="s">
        <v>340</v>
      </c>
      <c r="B14" s="3" t="s">
        <v>339</v>
      </c>
    </row>
    <row r="15" spans="1:2" x14ac:dyDescent="0.25">
      <c r="A15" s="3" t="s">
        <v>340</v>
      </c>
      <c r="B15" s="3" t="s">
        <v>8</v>
      </c>
    </row>
    <row r="16" spans="1:2" x14ac:dyDescent="0.25">
      <c r="A16" s="3" t="s">
        <v>340</v>
      </c>
      <c r="B16" s="3" t="s">
        <v>6</v>
      </c>
    </row>
    <row r="17" spans="1:2" x14ac:dyDescent="0.25">
      <c r="A17" s="3" t="s">
        <v>340</v>
      </c>
      <c r="B17" s="3" t="s">
        <v>9</v>
      </c>
    </row>
    <row r="18" spans="1:2" x14ac:dyDescent="0.25">
      <c r="A18" s="3" t="s">
        <v>340</v>
      </c>
      <c r="B18" s="3" t="s">
        <v>4</v>
      </c>
    </row>
    <row r="19" spans="1:2" x14ac:dyDescent="0.25">
      <c r="A19" s="3" t="s">
        <v>340</v>
      </c>
      <c r="B19" s="3" t="s">
        <v>10</v>
      </c>
    </row>
    <row r="20" spans="1:2" x14ac:dyDescent="0.25">
      <c r="A20" s="3" t="s">
        <v>340</v>
      </c>
      <c r="B20" s="3" t="s">
        <v>36</v>
      </c>
    </row>
    <row r="21" spans="1:2" x14ac:dyDescent="0.25">
      <c r="A21" s="3" t="s">
        <v>340</v>
      </c>
      <c r="B21" s="3" t="s">
        <v>836</v>
      </c>
    </row>
    <row r="22" spans="1:2" x14ac:dyDescent="0.25">
      <c r="A22" s="3" t="s">
        <v>340</v>
      </c>
      <c r="B22" s="3" t="s">
        <v>909</v>
      </c>
    </row>
    <row r="23" spans="1:2" x14ac:dyDescent="0.25">
      <c r="A23" s="3" t="s">
        <v>340</v>
      </c>
      <c r="B23" s="3" t="s">
        <v>29</v>
      </c>
    </row>
    <row r="24" spans="1:2" x14ac:dyDescent="0.25">
      <c r="A24" s="3" t="s">
        <v>340</v>
      </c>
      <c r="B24" s="3" t="s">
        <v>3</v>
      </c>
    </row>
    <row r="25" spans="1:2" x14ac:dyDescent="0.25">
      <c r="A25" s="3" t="s">
        <v>340</v>
      </c>
      <c r="B25" s="3" t="s">
        <v>7</v>
      </c>
    </row>
    <row r="26" spans="1:2" x14ac:dyDescent="0.25">
      <c r="A26" s="3" t="s">
        <v>340</v>
      </c>
      <c r="B26" s="3" t="s">
        <v>317</v>
      </c>
    </row>
    <row r="27" spans="1:2" x14ac:dyDescent="0.25">
      <c r="A27" s="3" t="s">
        <v>1055</v>
      </c>
      <c r="B27" s="3" t="s">
        <v>29</v>
      </c>
    </row>
    <row r="28" spans="1:2" x14ac:dyDescent="0.25">
      <c r="A28" s="3" t="s">
        <v>604</v>
      </c>
      <c r="B28" s="3" t="s">
        <v>836</v>
      </c>
    </row>
    <row r="29" spans="1:2" x14ac:dyDescent="0.25">
      <c r="A29" s="3" t="s">
        <v>604</v>
      </c>
      <c r="B29" s="3" t="s">
        <v>2</v>
      </c>
    </row>
    <row r="30" spans="1:2" x14ac:dyDescent="0.25">
      <c r="A30" s="3" t="s">
        <v>884</v>
      </c>
      <c r="B30" s="3" t="s">
        <v>29</v>
      </c>
    </row>
    <row r="31" spans="1:2" x14ac:dyDescent="0.25">
      <c r="A31" s="3" t="s">
        <v>11</v>
      </c>
      <c r="B31" s="3" t="s">
        <v>2</v>
      </c>
    </row>
    <row r="32" spans="1:2" x14ac:dyDescent="0.25">
      <c r="A32" s="3" t="s">
        <v>11</v>
      </c>
      <c r="B32" s="3" t="s">
        <v>7</v>
      </c>
    </row>
    <row r="33" spans="1:2" x14ac:dyDescent="0.25">
      <c r="A33" s="3" t="s">
        <v>11</v>
      </c>
      <c r="B33" s="3" t="s">
        <v>4</v>
      </c>
    </row>
    <row r="34" spans="1:2" x14ac:dyDescent="0.25">
      <c r="A34" s="3" t="s">
        <v>11</v>
      </c>
      <c r="B34" s="3" t="s">
        <v>836</v>
      </c>
    </row>
    <row r="35" spans="1:2" x14ac:dyDescent="0.25">
      <c r="A35" s="3" t="s">
        <v>11</v>
      </c>
      <c r="B35" s="3" t="s">
        <v>796</v>
      </c>
    </row>
    <row r="36" spans="1:2" x14ac:dyDescent="0.25">
      <c r="A36" s="3" t="s">
        <v>11</v>
      </c>
      <c r="B36" s="3" t="s">
        <v>313</v>
      </c>
    </row>
    <row r="37" spans="1:2" x14ac:dyDescent="0.25">
      <c r="A37" s="3" t="s">
        <v>11</v>
      </c>
      <c r="B37" s="3" t="s">
        <v>10</v>
      </c>
    </row>
    <row r="38" spans="1:2" x14ac:dyDescent="0.25">
      <c r="A38" s="3" t="s">
        <v>11</v>
      </c>
      <c r="B38" s="3" t="s">
        <v>8</v>
      </c>
    </row>
    <row r="39" spans="1:2" x14ac:dyDescent="0.25">
      <c r="A39" s="3" t="s">
        <v>11</v>
      </c>
      <c r="B39" s="3" t="s">
        <v>9</v>
      </c>
    </row>
    <row r="40" spans="1:2" x14ac:dyDescent="0.25">
      <c r="A40" s="3" t="s">
        <v>11</v>
      </c>
      <c r="B40" s="3" t="s">
        <v>317</v>
      </c>
    </row>
    <row r="41" spans="1:2" x14ac:dyDescent="0.25">
      <c r="A41" s="3" t="s">
        <v>11</v>
      </c>
      <c r="B41" s="3" t="s">
        <v>36</v>
      </c>
    </row>
    <row r="42" spans="1:2" x14ac:dyDescent="0.25">
      <c r="A42" s="3" t="s">
        <v>11</v>
      </c>
      <c r="B42" s="3" t="s">
        <v>339</v>
      </c>
    </row>
    <row r="43" spans="1:2" x14ac:dyDescent="0.25">
      <c r="A43" s="3" t="s">
        <v>11</v>
      </c>
      <c r="B43" s="3" t="s">
        <v>3</v>
      </c>
    </row>
    <row r="44" spans="1:2" x14ac:dyDescent="0.25">
      <c r="A44" s="3" t="s">
        <v>11</v>
      </c>
      <c r="B44" s="3" t="s">
        <v>6</v>
      </c>
    </row>
    <row r="45" spans="1:2" x14ac:dyDescent="0.25">
      <c r="A45" s="3" t="s">
        <v>375</v>
      </c>
      <c r="B45" s="3" t="s">
        <v>8</v>
      </c>
    </row>
    <row r="46" spans="1:2" x14ac:dyDescent="0.25">
      <c r="A46" s="3" t="s">
        <v>375</v>
      </c>
      <c r="B46" s="3" t="s">
        <v>6</v>
      </c>
    </row>
    <row r="47" spans="1:2" x14ac:dyDescent="0.25">
      <c r="A47" s="3" t="s">
        <v>375</v>
      </c>
      <c r="B47" s="3" t="s">
        <v>9</v>
      </c>
    </row>
    <row r="48" spans="1:2" x14ac:dyDescent="0.25">
      <c r="A48" s="3" t="s">
        <v>375</v>
      </c>
      <c r="B48" s="3" t="s">
        <v>4</v>
      </c>
    </row>
    <row r="49" spans="1:2" x14ac:dyDescent="0.25">
      <c r="A49" s="3" t="s">
        <v>375</v>
      </c>
      <c r="B49" s="3" t="s">
        <v>10</v>
      </c>
    </row>
    <row r="50" spans="1:2" x14ac:dyDescent="0.25">
      <c r="A50" s="3" t="s">
        <v>375</v>
      </c>
      <c r="B50" s="3" t="s">
        <v>5</v>
      </c>
    </row>
    <row r="51" spans="1:2" x14ac:dyDescent="0.25">
      <c r="A51" s="3" t="s">
        <v>375</v>
      </c>
      <c r="B51" s="3" t="s">
        <v>2</v>
      </c>
    </row>
    <row r="52" spans="1:2" x14ac:dyDescent="0.25">
      <c r="A52" s="3" t="s">
        <v>375</v>
      </c>
      <c r="B52" s="3" t="s">
        <v>3</v>
      </c>
    </row>
    <row r="53" spans="1:2" x14ac:dyDescent="0.25">
      <c r="A53" s="3" t="s">
        <v>375</v>
      </c>
      <c r="B53" s="3" t="s">
        <v>7</v>
      </c>
    </row>
    <row r="54" spans="1:2" x14ac:dyDescent="0.25">
      <c r="A54" s="3" t="s">
        <v>402</v>
      </c>
      <c r="B54" s="3" t="s">
        <v>2</v>
      </c>
    </row>
    <row r="55" spans="1:2" x14ac:dyDescent="0.25">
      <c r="A55" s="3" t="s">
        <v>600</v>
      </c>
      <c r="B55" s="3" t="s">
        <v>259</v>
      </c>
    </row>
    <row r="56" spans="1:2" x14ac:dyDescent="0.25">
      <c r="A56" s="3" t="s">
        <v>600</v>
      </c>
      <c r="B56" s="3" t="s">
        <v>1189</v>
      </c>
    </row>
    <row r="57" spans="1:2" x14ac:dyDescent="0.25">
      <c r="A57" s="3" t="s">
        <v>600</v>
      </c>
      <c r="B57" s="3" t="s">
        <v>1375</v>
      </c>
    </row>
    <row r="58" spans="1:2" x14ac:dyDescent="0.25">
      <c r="A58" s="3" t="s">
        <v>1299</v>
      </c>
      <c r="B58" s="3" t="s">
        <v>259</v>
      </c>
    </row>
    <row r="59" spans="1:2" x14ac:dyDescent="0.25">
      <c r="A59" s="3" t="s">
        <v>1299</v>
      </c>
      <c r="B59" s="3" t="s">
        <v>1189</v>
      </c>
    </row>
    <row r="60" spans="1:2" x14ac:dyDescent="0.25">
      <c r="A60" s="3" t="s">
        <v>1299</v>
      </c>
      <c r="B60" s="3" t="s">
        <v>1175</v>
      </c>
    </row>
    <row r="61" spans="1:2" x14ac:dyDescent="0.25">
      <c r="A61" s="3" t="s">
        <v>1318</v>
      </c>
      <c r="B61" s="3" t="s">
        <v>1420</v>
      </c>
    </row>
    <row r="62" spans="1:2" x14ac:dyDescent="0.25">
      <c r="A62" s="3" t="s">
        <v>1318</v>
      </c>
      <c r="B62" s="3" t="s">
        <v>421</v>
      </c>
    </row>
    <row r="63" spans="1:2" x14ac:dyDescent="0.25">
      <c r="A63" s="3" t="s">
        <v>1318</v>
      </c>
      <c r="B63" s="3" t="s">
        <v>1175</v>
      </c>
    </row>
    <row r="64" spans="1:2" x14ac:dyDescent="0.25">
      <c r="A64" s="3" t="s">
        <v>651</v>
      </c>
      <c r="B64" s="3" t="s">
        <v>29</v>
      </c>
    </row>
    <row r="65" spans="1:2" x14ac:dyDescent="0.25">
      <c r="A65" s="3" t="s">
        <v>924</v>
      </c>
      <c r="B65" s="3" t="s">
        <v>29</v>
      </c>
    </row>
    <row r="66" spans="1:2" x14ac:dyDescent="0.25">
      <c r="A66" s="3" t="s">
        <v>924</v>
      </c>
      <c r="B66" s="3" t="s">
        <v>7</v>
      </c>
    </row>
    <row r="67" spans="1:2" x14ac:dyDescent="0.25">
      <c r="A67" s="3" t="s">
        <v>1376</v>
      </c>
      <c r="B67" s="3" t="s">
        <v>29</v>
      </c>
    </row>
    <row r="68" spans="1:2" x14ac:dyDescent="0.25">
      <c r="A68" s="3" t="s">
        <v>427</v>
      </c>
      <c r="B68" s="3" t="s">
        <v>2</v>
      </c>
    </row>
    <row r="69" spans="1:2" x14ac:dyDescent="0.25">
      <c r="A69" s="3" t="s">
        <v>14</v>
      </c>
      <c r="B69" s="3" t="s">
        <v>2</v>
      </c>
    </row>
    <row r="70" spans="1:2" x14ac:dyDescent="0.25">
      <c r="A70" s="3" t="s">
        <v>535</v>
      </c>
      <c r="B70" s="3" t="s">
        <v>538</v>
      </c>
    </row>
    <row r="71" spans="1:2" x14ac:dyDescent="0.25">
      <c r="A71" s="3" t="s">
        <v>523</v>
      </c>
      <c r="B71" s="3" t="s">
        <v>526</v>
      </c>
    </row>
    <row r="72" spans="1:2" x14ac:dyDescent="0.25">
      <c r="A72" s="3" t="s">
        <v>13</v>
      </c>
      <c r="B72" s="3" t="s">
        <v>30</v>
      </c>
    </row>
    <row r="73" spans="1:2" x14ac:dyDescent="0.25">
      <c r="A73" s="3" t="s">
        <v>13</v>
      </c>
      <c r="B73" s="3" t="s">
        <v>31</v>
      </c>
    </row>
    <row r="74" spans="1:2" x14ac:dyDescent="0.25">
      <c r="A74" s="3" t="s">
        <v>13</v>
      </c>
      <c r="B74" s="3" t="s">
        <v>8</v>
      </c>
    </row>
    <row r="75" spans="1:2" x14ac:dyDescent="0.25">
      <c r="A75" s="3" t="s">
        <v>13</v>
      </c>
      <c r="B75" s="3" t="s">
        <v>32</v>
      </c>
    </row>
    <row r="76" spans="1:2" x14ac:dyDescent="0.25">
      <c r="A76" s="3" t="s">
        <v>13</v>
      </c>
      <c r="B76" s="3" t="s">
        <v>9</v>
      </c>
    </row>
    <row r="77" spans="1:2" x14ac:dyDescent="0.25">
      <c r="A77" s="3" t="s">
        <v>13</v>
      </c>
      <c r="B77" s="3" t="s">
        <v>4</v>
      </c>
    </row>
    <row r="78" spans="1:2" x14ac:dyDescent="0.25">
      <c r="A78" s="3" t="s">
        <v>13</v>
      </c>
      <c r="B78" s="3" t="s">
        <v>55</v>
      </c>
    </row>
    <row r="79" spans="1:2" x14ac:dyDescent="0.25">
      <c r="A79" s="3" t="s">
        <v>13</v>
      </c>
      <c r="B79" s="3" t="s">
        <v>34</v>
      </c>
    </row>
    <row r="80" spans="1:2" ht="30" x14ac:dyDescent="0.25">
      <c r="A80" s="3" t="s">
        <v>13</v>
      </c>
      <c r="B80" s="3" t="s">
        <v>35</v>
      </c>
    </row>
    <row r="81" spans="1:2" x14ac:dyDescent="0.25">
      <c r="A81" s="3" t="s">
        <v>13</v>
      </c>
      <c r="B81" s="3" t="s">
        <v>10</v>
      </c>
    </row>
    <row r="82" spans="1:2" x14ac:dyDescent="0.25">
      <c r="A82" s="3" t="s">
        <v>13</v>
      </c>
      <c r="B82" s="3" t="s">
        <v>36</v>
      </c>
    </row>
    <row r="83" spans="1:2" x14ac:dyDescent="0.25">
      <c r="A83" s="3" t="s">
        <v>13</v>
      </c>
      <c r="B83" s="3" t="s">
        <v>37</v>
      </c>
    </row>
    <row r="84" spans="1:2" x14ac:dyDescent="0.25">
      <c r="A84" s="3" t="s">
        <v>13</v>
      </c>
      <c r="B84" s="3" t="s">
        <v>38</v>
      </c>
    </row>
    <row r="85" spans="1:2" x14ac:dyDescent="0.25">
      <c r="A85" s="3" t="s">
        <v>13</v>
      </c>
      <c r="B85" s="3" t="s">
        <v>2</v>
      </c>
    </row>
    <row r="86" spans="1:2" x14ac:dyDescent="0.25">
      <c r="A86" s="3" t="s">
        <v>456</v>
      </c>
      <c r="B86" s="3" t="s">
        <v>30</v>
      </c>
    </row>
    <row r="87" spans="1:2" x14ac:dyDescent="0.25">
      <c r="A87" s="3" t="s">
        <v>456</v>
      </c>
      <c r="B87" s="3" t="s">
        <v>31</v>
      </c>
    </row>
    <row r="88" spans="1:2" x14ac:dyDescent="0.25">
      <c r="A88" s="3" t="s">
        <v>456</v>
      </c>
      <c r="B88" s="3" t="s">
        <v>8</v>
      </c>
    </row>
    <row r="89" spans="1:2" x14ac:dyDescent="0.25">
      <c r="A89" s="3" t="s">
        <v>456</v>
      </c>
      <c r="B89" s="3" t="s">
        <v>32</v>
      </c>
    </row>
    <row r="90" spans="1:2" x14ac:dyDescent="0.25">
      <c r="A90" s="3" t="s">
        <v>456</v>
      </c>
      <c r="B90" s="3" t="s">
        <v>9</v>
      </c>
    </row>
    <row r="91" spans="1:2" x14ac:dyDescent="0.25">
      <c r="A91" s="3" t="s">
        <v>456</v>
      </c>
      <c r="B91" s="3" t="s">
        <v>34</v>
      </c>
    </row>
    <row r="92" spans="1:2" x14ac:dyDescent="0.25">
      <c r="A92" s="3" t="s">
        <v>456</v>
      </c>
      <c r="B92" s="15" t="s">
        <v>10</v>
      </c>
    </row>
    <row r="93" spans="1:2" x14ac:dyDescent="0.25">
      <c r="A93" s="3" t="s">
        <v>456</v>
      </c>
      <c r="B93" s="15" t="s">
        <v>36</v>
      </c>
    </row>
    <row r="94" spans="1:2" x14ac:dyDescent="0.25">
      <c r="A94" s="3" t="s">
        <v>456</v>
      </c>
      <c r="B94" s="3" t="s">
        <v>2</v>
      </c>
    </row>
    <row r="95" spans="1:2" x14ac:dyDescent="0.25">
      <c r="A95" s="3" t="s">
        <v>880</v>
      </c>
      <c r="B95" s="3" t="s">
        <v>2</v>
      </c>
    </row>
    <row r="96" spans="1:2" x14ac:dyDescent="0.25">
      <c r="A96" s="3" t="s">
        <v>1146</v>
      </c>
      <c r="B96" s="3" t="s">
        <v>29</v>
      </c>
    </row>
    <row r="97" spans="1:2" x14ac:dyDescent="0.25">
      <c r="A97" s="3" t="s">
        <v>1146</v>
      </c>
      <c r="B97" s="3" t="s">
        <v>7</v>
      </c>
    </row>
    <row r="98" spans="1:2" x14ac:dyDescent="0.25">
      <c r="A98" s="3" t="s">
        <v>1146</v>
      </c>
      <c r="B98" s="3" t="s">
        <v>1216</v>
      </c>
    </row>
    <row r="99" spans="1:2" x14ac:dyDescent="0.25">
      <c r="A99" s="3" t="s">
        <v>1146</v>
      </c>
      <c r="B99" s="3" t="s">
        <v>9</v>
      </c>
    </row>
    <row r="100" spans="1:2" x14ac:dyDescent="0.25">
      <c r="A100" s="3" t="s">
        <v>1146</v>
      </c>
      <c r="B100" s="3" t="s">
        <v>339</v>
      </c>
    </row>
    <row r="101" spans="1:2" x14ac:dyDescent="0.25">
      <c r="A101" s="3" t="s">
        <v>541</v>
      </c>
      <c r="B101" s="3" t="s">
        <v>538</v>
      </c>
    </row>
    <row r="102" spans="1:2" x14ac:dyDescent="0.25">
      <c r="A102" s="3" t="s">
        <v>698</v>
      </c>
      <c r="B102" s="3" t="s">
        <v>809</v>
      </c>
    </row>
    <row r="103" spans="1:2" x14ac:dyDescent="0.25">
      <c r="A103" s="3" t="s">
        <v>380</v>
      </c>
      <c r="B103" s="3" t="s">
        <v>448</v>
      </c>
    </row>
    <row r="104" spans="1:2" x14ac:dyDescent="0.25">
      <c r="A104" s="3" t="s">
        <v>380</v>
      </c>
      <c r="B104" s="3" t="s">
        <v>836</v>
      </c>
    </row>
    <row r="105" spans="1:2" x14ac:dyDescent="0.25">
      <c r="A105" s="3" t="s">
        <v>380</v>
      </c>
      <c r="B105" s="3" t="s">
        <v>541</v>
      </c>
    </row>
    <row r="106" spans="1:2" x14ac:dyDescent="0.25">
      <c r="A106" s="3" t="s">
        <v>380</v>
      </c>
      <c r="B106" s="3" t="s">
        <v>449</v>
      </c>
    </row>
    <row r="107" spans="1:2" x14ac:dyDescent="0.25">
      <c r="A107" s="3" t="s">
        <v>380</v>
      </c>
      <c r="B107" s="3" t="s">
        <v>446</v>
      </c>
    </row>
    <row r="108" spans="1:2" x14ac:dyDescent="0.25">
      <c r="A108" s="3" t="s">
        <v>380</v>
      </c>
      <c r="B108" s="3" t="s">
        <v>445</v>
      </c>
    </row>
    <row r="109" spans="1:2" x14ac:dyDescent="0.25">
      <c r="A109" s="3" t="s">
        <v>380</v>
      </c>
      <c r="B109" s="3" t="s">
        <v>382</v>
      </c>
    </row>
    <row r="110" spans="1:2" x14ac:dyDescent="0.25">
      <c r="A110" s="3" t="s">
        <v>380</v>
      </c>
      <c r="B110" s="3" t="s">
        <v>444</v>
      </c>
    </row>
    <row r="111" spans="1:2" x14ac:dyDescent="0.25">
      <c r="A111" s="3" t="s">
        <v>380</v>
      </c>
      <c r="B111" s="3" t="s">
        <v>383</v>
      </c>
    </row>
    <row r="112" spans="1:2" x14ac:dyDescent="0.25">
      <c r="A112" s="3" t="s">
        <v>380</v>
      </c>
      <c r="B112" s="3" t="s">
        <v>447</v>
      </c>
    </row>
    <row r="113" spans="1:2" x14ac:dyDescent="0.25">
      <c r="A113" s="3" t="s">
        <v>478</v>
      </c>
      <c r="B113" s="3" t="s">
        <v>2</v>
      </c>
    </row>
    <row r="114" spans="1:2" x14ac:dyDescent="0.25">
      <c r="A114" s="15" t="s">
        <v>846</v>
      </c>
      <c r="B114" s="15" t="s">
        <v>836</v>
      </c>
    </row>
    <row r="115" spans="1:2" x14ac:dyDescent="0.25">
      <c r="A115" s="15" t="s">
        <v>846</v>
      </c>
      <c r="B115" s="3" t="s">
        <v>29</v>
      </c>
    </row>
    <row r="116" spans="1:2" x14ac:dyDescent="0.25">
      <c r="A116" s="3" t="s">
        <v>1141</v>
      </c>
      <c r="B116" s="3" t="s">
        <v>339</v>
      </c>
    </row>
    <row r="117" spans="1:2" x14ac:dyDescent="0.25">
      <c r="A117" s="3" t="s">
        <v>1141</v>
      </c>
      <c r="B117" s="3" t="s">
        <v>8</v>
      </c>
    </row>
    <row r="118" spans="1:2" x14ac:dyDescent="0.25">
      <c r="A118" s="3" t="s">
        <v>1141</v>
      </c>
      <c r="B118" s="3" t="s">
        <v>6</v>
      </c>
    </row>
    <row r="119" spans="1:2" x14ac:dyDescent="0.25">
      <c r="A119" s="3" t="s">
        <v>1141</v>
      </c>
      <c r="B119" s="3" t="s">
        <v>9</v>
      </c>
    </row>
    <row r="120" spans="1:2" x14ac:dyDescent="0.25">
      <c r="A120" s="3" t="s">
        <v>1141</v>
      </c>
      <c r="B120" s="3" t="s">
        <v>4</v>
      </c>
    </row>
    <row r="121" spans="1:2" x14ac:dyDescent="0.25">
      <c r="A121" s="3" t="s">
        <v>1141</v>
      </c>
      <c r="B121" s="3" t="s">
        <v>10</v>
      </c>
    </row>
    <row r="122" spans="1:2" x14ac:dyDescent="0.25">
      <c r="A122" s="3" t="s">
        <v>1141</v>
      </c>
      <c r="B122" s="3" t="s">
        <v>36</v>
      </c>
    </row>
    <row r="123" spans="1:2" x14ac:dyDescent="0.25">
      <c r="A123" s="3" t="s">
        <v>1141</v>
      </c>
      <c r="B123" s="3" t="s">
        <v>836</v>
      </c>
    </row>
    <row r="124" spans="1:2" x14ac:dyDescent="0.25">
      <c r="A124" s="3" t="s">
        <v>1141</v>
      </c>
      <c r="B124" s="3" t="s">
        <v>909</v>
      </c>
    </row>
    <row r="125" spans="1:2" x14ac:dyDescent="0.25">
      <c r="A125" s="3" t="s">
        <v>1141</v>
      </c>
      <c r="B125" s="3" t="s">
        <v>29</v>
      </c>
    </row>
    <row r="126" spans="1:2" x14ac:dyDescent="0.25">
      <c r="A126" s="3" t="s">
        <v>1141</v>
      </c>
      <c r="B126" s="3" t="s">
        <v>3</v>
      </c>
    </row>
    <row r="127" spans="1:2" x14ac:dyDescent="0.25">
      <c r="A127" s="3" t="s">
        <v>1141</v>
      </c>
      <c r="B127" s="3" t="s">
        <v>7</v>
      </c>
    </row>
  </sheetData>
  <sortState xmlns:xlrd2="http://schemas.microsoft.com/office/spreadsheetml/2017/richdata2" ref="A3:B114">
    <sortCondition ref="A3:A114"/>
    <sortCondition ref="B3:B1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192E-C715-4EB1-955C-E8DBE3607755}">
  <sheetPr codeName="Sheet5" filterMode="1"/>
  <dimension ref="A1:G144"/>
  <sheetViews>
    <sheetView zoomScale="205" zoomScaleNormal="205" workbookViewId="0">
      <pane ySplit="1" topLeftCell="A59" activePane="bottomLeft" state="frozen"/>
      <selection pane="bottomLeft" activeCell="D64" sqref="D64"/>
    </sheetView>
  </sheetViews>
  <sheetFormatPr defaultColWidth="9.140625" defaultRowHeight="15" x14ac:dyDescent="0.25"/>
  <cols>
    <col min="1" max="1" width="13.140625" customWidth="1"/>
    <col min="2" max="2" width="30.7109375" bestFit="1" customWidth="1"/>
    <col min="3" max="3" width="27.28515625" bestFit="1" customWidth="1"/>
    <col min="4" max="4" width="34.28515625" bestFit="1" customWidth="1"/>
    <col min="5" max="5" width="45.7109375" customWidth="1"/>
    <col min="6" max="6" width="50.7109375" customWidth="1"/>
  </cols>
  <sheetData>
    <row r="1" spans="1:7" x14ac:dyDescent="0.25">
      <c r="A1" s="2" t="s">
        <v>1</v>
      </c>
      <c r="B1" s="2" t="s">
        <v>39</v>
      </c>
      <c r="C1" s="2" t="s">
        <v>58</v>
      </c>
      <c r="D1" s="2" t="s">
        <v>0</v>
      </c>
      <c r="E1" s="2" t="s">
        <v>982</v>
      </c>
      <c r="F1" s="2" t="s">
        <v>182</v>
      </c>
    </row>
    <row r="2" spans="1:7" hidden="1" x14ac:dyDescent="0.25">
      <c r="A2" s="3" t="s">
        <v>1079</v>
      </c>
      <c r="B2" s="3" t="s">
        <v>29</v>
      </c>
      <c r="C2" s="3" t="s">
        <v>1139</v>
      </c>
      <c r="D2" s="3" t="s">
        <v>1138</v>
      </c>
      <c r="E2" s="3" t="str">
        <f t="shared" ref="E2:E68" si="0">A2&amp;B2&amp;C2</f>
        <v>SMW-LWRATMTender Requirements View</v>
      </c>
      <c r="F2" s="3" t="s">
        <v>1140</v>
      </c>
    </row>
    <row r="3" spans="1:7" hidden="1" x14ac:dyDescent="0.25">
      <c r="A3" s="3" t="s">
        <v>1079</v>
      </c>
      <c r="B3" s="3" t="s">
        <v>29</v>
      </c>
      <c r="C3" s="3" t="s">
        <v>59</v>
      </c>
      <c r="D3" s="3" t="s">
        <v>1080</v>
      </c>
      <c r="E3" s="3" t="str">
        <f t="shared" si="0"/>
        <v>SMW-LWRATMGeneral Requirements View</v>
      </c>
      <c r="F3" s="3" t="s">
        <v>1081</v>
      </c>
    </row>
    <row r="4" spans="1:7" ht="30" hidden="1" x14ac:dyDescent="0.25">
      <c r="A4" s="3" t="s">
        <v>435</v>
      </c>
      <c r="B4" s="3" t="s">
        <v>2</v>
      </c>
      <c r="C4" s="3" t="s">
        <v>59</v>
      </c>
      <c r="D4" s="3" t="s">
        <v>438</v>
      </c>
      <c r="E4" s="3" t="str">
        <f t="shared" si="0"/>
        <v>A2PRequirement SpecificationGeneral Requirements View</v>
      </c>
      <c r="F4" s="3" t="s">
        <v>188</v>
      </c>
    </row>
    <row r="5" spans="1:7" hidden="1" x14ac:dyDescent="0.25">
      <c r="A5" s="3" t="s">
        <v>1042</v>
      </c>
      <c r="B5" s="3" t="s">
        <v>259</v>
      </c>
      <c r="C5" s="3" t="s">
        <v>59</v>
      </c>
      <c r="D5" s="14" t="s">
        <v>1046</v>
      </c>
      <c r="E5" s="3" t="str">
        <f t="shared" si="0"/>
        <v>B2ARAATMGeneral Requirements View</v>
      </c>
      <c r="F5" s="3" t="str">
        <f>C5</f>
        <v>General Requirements View</v>
      </c>
    </row>
    <row r="6" spans="1:7" hidden="1" x14ac:dyDescent="0.25">
      <c r="A6" s="3" t="s">
        <v>1042</v>
      </c>
      <c r="B6" s="3" t="s">
        <v>1189</v>
      </c>
      <c r="C6" s="3" t="s">
        <v>60</v>
      </c>
      <c r="D6" s="14" t="s">
        <v>1052</v>
      </c>
      <c r="E6" s="3" t="str">
        <f t="shared" si="0"/>
        <v>B2AVCRM01 Verification-Design</v>
      </c>
      <c r="F6" s="3" t="str">
        <f>C6</f>
        <v>01 Verification-Design</v>
      </c>
    </row>
    <row r="7" spans="1:7" hidden="1" x14ac:dyDescent="0.25">
      <c r="A7" s="3" t="s">
        <v>1042</v>
      </c>
      <c r="B7" s="3" t="s">
        <v>36</v>
      </c>
      <c r="C7" s="3" t="s">
        <v>1011</v>
      </c>
      <c r="D7" s="14" t="s">
        <v>1166</v>
      </c>
      <c r="E7" s="3" t="str">
        <f t="shared" si="0"/>
        <v>B2AHF Issues RegisterHF Issues</v>
      </c>
      <c r="F7" s="3" t="str">
        <f>C7</f>
        <v>HF Issues</v>
      </c>
    </row>
    <row r="8" spans="1:7" hidden="1" x14ac:dyDescent="0.25">
      <c r="A8" s="3" t="s">
        <v>1042</v>
      </c>
      <c r="B8" s="3" t="s">
        <v>313</v>
      </c>
      <c r="C8" s="3" t="s">
        <v>315</v>
      </c>
      <c r="D8" s="14" t="s">
        <v>315</v>
      </c>
      <c r="E8" s="3" t="str">
        <f t="shared" si="0"/>
        <v>B2A&lt;&lt;RVTM&gt;&gt;n/a</v>
      </c>
      <c r="F8" s="3" t="s">
        <v>314</v>
      </c>
    </row>
    <row r="9" spans="1:7" hidden="1" x14ac:dyDescent="0.25">
      <c r="A9" s="3" t="s">
        <v>1169</v>
      </c>
      <c r="B9" s="3" t="s">
        <v>259</v>
      </c>
      <c r="C9" s="3" t="s">
        <v>59</v>
      </c>
      <c r="D9" s="14" t="s">
        <v>1406</v>
      </c>
      <c r="E9" s="3" t="str">
        <f t="shared" si="0"/>
        <v>B2A-IRPLRAATMGeneral Requirements View</v>
      </c>
      <c r="F9" s="3" t="str">
        <f>C9</f>
        <v>General Requirements View</v>
      </c>
    </row>
    <row r="10" spans="1:7" hidden="1" x14ac:dyDescent="0.25">
      <c r="A10" s="3" t="s">
        <v>1169</v>
      </c>
      <c r="B10" s="3" t="s">
        <v>1175</v>
      </c>
      <c r="C10" s="3" t="s">
        <v>1177</v>
      </c>
      <c r="D10" s="14" t="s">
        <v>1303</v>
      </c>
      <c r="E10" s="3" t="str">
        <f t="shared" si="0"/>
        <v>B2A-IRPLRequirements SpecificationExport PSR</v>
      </c>
      <c r="F10" s="3" t="str">
        <f t="shared" ref="F10:F11" si="1">C10</f>
        <v>Export PSR</v>
      </c>
      <c r="G10" s="3"/>
    </row>
    <row r="11" spans="1:7" hidden="1" x14ac:dyDescent="0.25">
      <c r="A11" s="3" t="s">
        <v>1169</v>
      </c>
      <c r="B11" s="3" t="s">
        <v>1189</v>
      </c>
      <c r="C11" s="3" t="s">
        <v>422</v>
      </c>
      <c r="D11" s="14" t="s">
        <v>1410</v>
      </c>
      <c r="E11" s="3" t="str">
        <f t="shared" si="0"/>
        <v>B2A-IRPLVCRMVerification</v>
      </c>
      <c r="F11" s="3" t="str">
        <f t="shared" si="1"/>
        <v>Verification</v>
      </c>
      <c r="G11" s="3"/>
    </row>
    <row r="12" spans="1:7" hidden="1" x14ac:dyDescent="0.25">
      <c r="A12" s="3" t="s">
        <v>340</v>
      </c>
      <c r="B12" s="3" t="s">
        <v>313</v>
      </c>
      <c r="C12" s="3" t="s">
        <v>315</v>
      </c>
      <c r="D12" s="14" t="s">
        <v>315</v>
      </c>
      <c r="E12" s="3" t="str">
        <f t="shared" si="0"/>
        <v>B2N&lt;&lt;RVTM&gt;&gt;n/a</v>
      </c>
      <c r="F12" s="3" t="s">
        <v>314</v>
      </c>
      <c r="G12" s="3"/>
    </row>
    <row r="13" spans="1:7" hidden="1" x14ac:dyDescent="0.25">
      <c r="A13" s="3" t="s">
        <v>340</v>
      </c>
      <c r="B13" s="3" t="s">
        <v>4</v>
      </c>
      <c r="C13" s="3" t="s">
        <v>4</v>
      </c>
      <c r="D13" s="14" t="s">
        <v>351</v>
      </c>
      <c r="E13" s="3" t="str">
        <f t="shared" si="0"/>
        <v>B2NDocument RegisterDocument Register</v>
      </c>
      <c r="F13" s="3" t="s">
        <v>192</v>
      </c>
      <c r="G13" s="3"/>
    </row>
    <row r="14" spans="1:7" ht="30" hidden="1" x14ac:dyDescent="0.25">
      <c r="A14" s="3" t="s">
        <v>340</v>
      </c>
      <c r="B14" s="3" t="s">
        <v>836</v>
      </c>
      <c r="C14" s="3" t="s">
        <v>835</v>
      </c>
      <c r="D14" s="3" t="s">
        <v>842</v>
      </c>
      <c r="E14" s="3" t="str">
        <f t="shared" si="0"/>
        <v>B2NnoneAll Requirement Clause Artefacts</v>
      </c>
      <c r="F14" s="3" t="str">
        <f>C14</f>
        <v>All Requirement Clause Artefacts</v>
      </c>
      <c r="G14" s="3"/>
    </row>
    <row r="15" spans="1:7" ht="30" hidden="1" x14ac:dyDescent="0.25">
      <c r="A15" s="3" t="s">
        <v>340</v>
      </c>
      <c r="B15" s="3" t="s">
        <v>836</v>
      </c>
      <c r="C15" s="3" t="s">
        <v>841</v>
      </c>
      <c r="D15" s="3" t="s">
        <v>837</v>
      </c>
      <c r="E15" s="3" t="str">
        <f t="shared" si="0"/>
        <v>B2NnoneRequirement Allocation _TOBEDELETED</v>
      </c>
      <c r="F15" s="3" t="str">
        <f>C15</f>
        <v>Requirement Allocation _TOBEDELETED</v>
      </c>
      <c r="G15" s="3"/>
    </row>
    <row r="16" spans="1:7" hidden="1" x14ac:dyDescent="0.25">
      <c r="A16" s="3" t="s">
        <v>340</v>
      </c>
      <c r="B16" s="3" t="s">
        <v>836</v>
      </c>
      <c r="C16" s="3" t="s">
        <v>839</v>
      </c>
      <c r="D16" s="3" t="s">
        <v>838</v>
      </c>
      <c r="E16" s="3" t="str">
        <f t="shared" si="0"/>
        <v>B2NnoneAll Modules</v>
      </c>
      <c r="F16" s="3" t="str">
        <f>C16</f>
        <v>All Modules</v>
      </c>
      <c r="G16" s="3"/>
    </row>
    <row r="17" spans="1:7" hidden="1" x14ac:dyDescent="0.25">
      <c r="A17" s="3" t="s">
        <v>340</v>
      </c>
      <c r="B17" s="3" t="s">
        <v>29</v>
      </c>
      <c r="C17" s="3" t="s">
        <v>59</v>
      </c>
      <c r="D17" s="14" t="s">
        <v>343</v>
      </c>
      <c r="E17" s="3" t="str">
        <f t="shared" si="0"/>
        <v>B2NRATMGeneral Requirements View</v>
      </c>
      <c r="F17" s="3" t="s">
        <v>188</v>
      </c>
      <c r="G17" s="3"/>
    </row>
    <row r="18" spans="1:7" hidden="1" x14ac:dyDescent="0.25">
      <c r="A18" s="3" t="s">
        <v>340</v>
      </c>
      <c r="B18" s="3" t="s">
        <v>29</v>
      </c>
      <c r="C18" s="3" t="s">
        <v>635</v>
      </c>
      <c r="D18" s="14" t="s">
        <v>985</v>
      </c>
      <c r="E18" s="3" t="str">
        <f t="shared" si="0"/>
        <v>B2NRATMIds Only</v>
      </c>
      <c r="F18" s="3" t="str">
        <f>C18</f>
        <v>Ids Only</v>
      </c>
      <c r="G18" s="3"/>
    </row>
    <row r="19" spans="1:7" hidden="1" x14ac:dyDescent="0.25">
      <c r="A19" s="3" t="s">
        <v>340</v>
      </c>
      <c r="B19" s="3" t="s">
        <v>7</v>
      </c>
      <c r="C19" s="3" t="s">
        <v>60</v>
      </c>
      <c r="D19" s="14" t="s">
        <v>344</v>
      </c>
      <c r="E19" s="3" t="str">
        <f t="shared" si="0"/>
        <v>B2NRVTM01 Verification-Design</v>
      </c>
      <c r="F19" s="3" t="s">
        <v>189</v>
      </c>
      <c r="G19" s="3"/>
    </row>
    <row r="20" spans="1:7" ht="30" hidden="1" x14ac:dyDescent="0.25">
      <c r="A20" s="3" t="s">
        <v>340</v>
      </c>
      <c r="B20" s="3" t="s">
        <v>7</v>
      </c>
      <c r="C20" s="3" t="s">
        <v>491</v>
      </c>
      <c r="D20" s="14" t="s">
        <v>904</v>
      </c>
      <c r="E20" s="3" t="str">
        <f t="shared" si="0"/>
        <v>B2NRVTM04 Verification and Validation</v>
      </c>
      <c r="F20" s="3" t="s">
        <v>494</v>
      </c>
      <c r="G20" s="3"/>
    </row>
    <row r="21" spans="1:7" hidden="1" x14ac:dyDescent="0.25">
      <c r="A21" s="3" t="s">
        <v>340</v>
      </c>
      <c r="B21" s="3" t="s">
        <v>909</v>
      </c>
      <c r="C21" s="3" t="s">
        <v>911</v>
      </c>
      <c r="D21" s="14" t="s">
        <v>910</v>
      </c>
      <c r="E21" s="3" t="str">
        <f t="shared" si="0"/>
        <v>B2NPlan RVTMPlan RVTM View</v>
      </c>
      <c r="F21" s="3" t="str">
        <f>C21</f>
        <v>Plan RVTM View</v>
      </c>
      <c r="G21" s="3"/>
    </row>
    <row r="22" spans="1:7" hidden="1" x14ac:dyDescent="0.25">
      <c r="A22" s="3" t="s">
        <v>340</v>
      </c>
      <c r="B22" s="3" t="s">
        <v>36</v>
      </c>
      <c r="C22" s="3" t="s">
        <v>1011</v>
      </c>
      <c r="D22" s="14" t="s">
        <v>1012</v>
      </c>
      <c r="E22" s="3" t="str">
        <f t="shared" si="0"/>
        <v>B2NHF Issues RegisterHF Issues</v>
      </c>
      <c r="F22" s="3" t="str">
        <f>C22</f>
        <v>HF Issues</v>
      </c>
      <c r="G22" s="3"/>
    </row>
    <row r="23" spans="1:7" hidden="1" x14ac:dyDescent="0.25">
      <c r="A23" s="3" t="s">
        <v>1055</v>
      </c>
      <c r="B23" s="3" t="s">
        <v>29</v>
      </c>
      <c r="C23" s="3" t="s">
        <v>59</v>
      </c>
      <c r="D23" s="3" t="s">
        <v>1058</v>
      </c>
      <c r="E23" s="3" t="str">
        <f t="shared" si="0"/>
        <v>BDPRATMGeneral Requirements View</v>
      </c>
      <c r="F23" s="3" t="str">
        <f>C23</f>
        <v>General Requirements View</v>
      </c>
      <c r="G23" s="3"/>
    </row>
    <row r="24" spans="1:7" hidden="1" x14ac:dyDescent="0.25">
      <c r="A24" s="3" t="s">
        <v>604</v>
      </c>
      <c r="B24" s="3" t="s">
        <v>836</v>
      </c>
      <c r="C24" s="3" t="s">
        <v>839</v>
      </c>
      <c r="D24" s="3" t="s">
        <v>871</v>
      </c>
      <c r="E24" s="3" t="str">
        <f t="shared" si="0"/>
        <v>CLRS2AnoneAll Modules</v>
      </c>
      <c r="F24" s="3" t="s">
        <v>839</v>
      </c>
      <c r="G24" s="3"/>
    </row>
    <row r="25" spans="1:7" ht="30" hidden="1" x14ac:dyDescent="0.25">
      <c r="A25" s="3" t="s">
        <v>604</v>
      </c>
      <c r="B25" s="3" t="s">
        <v>2</v>
      </c>
      <c r="C25" s="3" t="s">
        <v>59</v>
      </c>
      <c r="D25" s="3" t="s">
        <v>606</v>
      </c>
      <c r="E25" s="3" t="str">
        <f t="shared" si="0"/>
        <v>CLRS2ARequirement SpecificationGeneral Requirements View</v>
      </c>
      <c r="F25" s="3" t="s">
        <v>188</v>
      </c>
      <c r="G25" s="3"/>
    </row>
    <row r="26" spans="1:7" hidden="1" x14ac:dyDescent="0.25">
      <c r="A26" s="3" t="s">
        <v>604</v>
      </c>
      <c r="B26" s="3" t="s">
        <v>2</v>
      </c>
      <c r="C26" s="3" t="s">
        <v>635</v>
      </c>
      <c r="D26" s="18" t="s">
        <v>636</v>
      </c>
      <c r="E26" s="3" t="str">
        <f t="shared" si="0"/>
        <v>CLRS2ARequirement SpecificationIds Only</v>
      </c>
      <c r="F26" s="3" t="str">
        <f>C26</f>
        <v>Ids Only</v>
      </c>
      <c r="G26" s="3"/>
    </row>
    <row r="27" spans="1:7" hidden="1" x14ac:dyDescent="0.25">
      <c r="A27" s="3" t="s">
        <v>884</v>
      </c>
      <c r="B27" s="3" t="s">
        <v>29</v>
      </c>
      <c r="C27" s="3" t="s">
        <v>59</v>
      </c>
      <c r="D27" s="14" t="s">
        <v>887</v>
      </c>
      <c r="E27" s="3" t="str">
        <f t="shared" si="0"/>
        <v>CWO-REZRATMGeneral Requirements View</v>
      </c>
      <c r="F27" s="3" t="s">
        <v>188</v>
      </c>
    </row>
    <row r="28" spans="1:7" ht="30" hidden="1" x14ac:dyDescent="0.25">
      <c r="A28" s="3" t="s">
        <v>11</v>
      </c>
      <c r="B28" s="3" t="s">
        <v>2</v>
      </c>
      <c r="C28" s="3" t="s">
        <v>59</v>
      </c>
      <c r="D28" s="14" t="s">
        <v>44</v>
      </c>
      <c r="E28" s="3" t="str">
        <f t="shared" si="0"/>
        <v>GCLRS3Requirement SpecificationGeneral Requirements View</v>
      </c>
      <c r="F28" s="3" t="s">
        <v>188</v>
      </c>
    </row>
    <row r="29" spans="1:7" hidden="1" x14ac:dyDescent="0.25">
      <c r="A29" s="3" t="s">
        <v>11</v>
      </c>
      <c r="B29" s="3" t="s">
        <v>2</v>
      </c>
      <c r="C29" s="3" t="s">
        <v>400</v>
      </c>
      <c r="D29" s="14" t="s">
        <v>788</v>
      </c>
      <c r="E29" s="3" t="str">
        <f t="shared" si="0"/>
        <v>GCLRS3Requirement SpecificationCompletion</v>
      </c>
      <c r="F29" s="3" t="s">
        <v>789</v>
      </c>
    </row>
    <row r="30" spans="1:7" ht="30" hidden="1" x14ac:dyDescent="0.25">
      <c r="A30" s="3" t="s">
        <v>11</v>
      </c>
      <c r="B30" s="3" t="s">
        <v>7</v>
      </c>
      <c r="C30" s="3" t="s">
        <v>976</v>
      </c>
      <c r="D30" s="14" t="s">
        <v>971</v>
      </c>
      <c r="E30" s="3" t="str">
        <f t="shared" si="0"/>
        <v>GCLRS3RVTM03 Verification and Validation</v>
      </c>
      <c r="F30" s="3" t="s">
        <v>492</v>
      </c>
    </row>
    <row r="31" spans="1:7" ht="30" hidden="1" x14ac:dyDescent="0.25">
      <c r="A31" s="3" t="s">
        <v>11</v>
      </c>
      <c r="B31" s="3" t="s">
        <v>7</v>
      </c>
      <c r="C31" s="3" t="s">
        <v>983</v>
      </c>
      <c r="D31" s="14" t="s">
        <v>46</v>
      </c>
      <c r="E31" s="3" t="str">
        <f t="shared" si="0"/>
        <v>GCLRS3RVTM02 Verification-Production/Validation</v>
      </c>
      <c r="F31" s="3" t="s">
        <v>984</v>
      </c>
    </row>
    <row r="32" spans="1:7" hidden="1" x14ac:dyDescent="0.25">
      <c r="A32" s="3" t="s">
        <v>11</v>
      </c>
      <c r="B32" s="3" t="s">
        <v>7</v>
      </c>
      <c r="C32" s="3" t="s">
        <v>60</v>
      </c>
      <c r="D32" s="14" t="s">
        <v>45</v>
      </c>
      <c r="E32" s="3" t="str">
        <f t="shared" si="0"/>
        <v>GCLRS3RVTM01 Verification-Design</v>
      </c>
      <c r="F32" s="3" t="s">
        <v>189</v>
      </c>
    </row>
    <row r="33" spans="1:6" hidden="1" x14ac:dyDescent="0.25">
      <c r="A33" s="3" t="s">
        <v>11</v>
      </c>
      <c r="B33" s="3" t="s">
        <v>4</v>
      </c>
      <c r="C33" s="3" t="s">
        <v>4</v>
      </c>
      <c r="D33" s="14" t="s">
        <v>47</v>
      </c>
      <c r="E33" s="3" t="str">
        <f t="shared" si="0"/>
        <v>GCLRS3Document RegisterDocument Register</v>
      </c>
      <c r="F33" s="3" t="s">
        <v>192</v>
      </c>
    </row>
    <row r="34" spans="1:6" hidden="1" x14ac:dyDescent="0.25">
      <c r="A34" s="3" t="s">
        <v>11</v>
      </c>
      <c r="B34" s="3" t="s">
        <v>836</v>
      </c>
      <c r="C34" s="3" t="s">
        <v>839</v>
      </c>
      <c r="D34" s="3" t="s">
        <v>875</v>
      </c>
      <c r="E34" s="3" t="str">
        <f t="shared" si="0"/>
        <v>GCLRS3noneAll Modules</v>
      </c>
      <c r="F34" s="3" t="str">
        <f>C34</f>
        <v>All Modules</v>
      </c>
    </row>
    <row r="35" spans="1:6" hidden="1" x14ac:dyDescent="0.25">
      <c r="A35" s="3" t="s">
        <v>11</v>
      </c>
      <c r="B35" s="3" t="s">
        <v>836</v>
      </c>
      <c r="C35" s="3" t="s">
        <v>856</v>
      </c>
      <c r="D35" s="3" t="s">
        <v>855</v>
      </c>
      <c r="E35" s="3" t="str">
        <f t="shared" si="0"/>
        <v>GCLRS3noneRVTM Status</v>
      </c>
      <c r="F35" s="3" t="str">
        <f>C35</f>
        <v>RVTM Status</v>
      </c>
    </row>
    <row r="36" spans="1:6" hidden="1" x14ac:dyDescent="0.25">
      <c r="A36" s="3" t="s">
        <v>11</v>
      </c>
      <c r="B36" s="3" t="s">
        <v>796</v>
      </c>
      <c r="C36" s="3" t="s">
        <v>798</v>
      </c>
      <c r="D36" s="14" t="s">
        <v>799</v>
      </c>
      <c r="E36" s="3" t="str">
        <f t="shared" si="0"/>
        <v>GCLRS3RVTM-ProcessVerification-Process</v>
      </c>
      <c r="F36" s="3" t="s">
        <v>800</v>
      </c>
    </row>
    <row r="37" spans="1:6" hidden="1" x14ac:dyDescent="0.25">
      <c r="A37" s="3" t="s">
        <v>11</v>
      </c>
      <c r="B37" s="3" t="s">
        <v>313</v>
      </c>
      <c r="C37" s="3" t="s">
        <v>315</v>
      </c>
      <c r="D37" s="14" t="s">
        <v>315</v>
      </c>
      <c r="E37" s="3" t="str">
        <f t="shared" si="0"/>
        <v>GCLRS3&lt;&lt;RVTM&gt;&gt;n/a</v>
      </c>
      <c r="F37" s="3" t="s">
        <v>314</v>
      </c>
    </row>
    <row r="38" spans="1:6" hidden="1" x14ac:dyDescent="0.25">
      <c r="A38" s="3" t="s">
        <v>11</v>
      </c>
      <c r="B38" s="3" t="s">
        <v>10</v>
      </c>
      <c r="C38" s="3" t="s">
        <v>10</v>
      </c>
      <c r="D38" s="14" t="s">
        <v>43</v>
      </c>
      <c r="E38" s="3" t="str">
        <f t="shared" si="0"/>
        <v>GCLRS3Hazards RegisterHazards Register</v>
      </c>
      <c r="F38" s="3" t="s">
        <v>186</v>
      </c>
    </row>
    <row r="39" spans="1:6" hidden="1" x14ac:dyDescent="0.25">
      <c r="A39" s="3" t="s">
        <v>11</v>
      </c>
      <c r="B39" s="3" t="s">
        <v>8</v>
      </c>
      <c r="C39" s="3" t="s">
        <v>8</v>
      </c>
      <c r="D39" s="14" t="s">
        <v>41</v>
      </c>
      <c r="E39" s="3" t="str">
        <f t="shared" si="0"/>
        <v>GCLRS3Causes RegisterCauses Register</v>
      </c>
      <c r="F39" s="3" t="s">
        <v>184</v>
      </c>
    </row>
    <row r="40" spans="1:6" hidden="1" x14ac:dyDescent="0.25">
      <c r="A40" s="3" t="s">
        <v>11</v>
      </c>
      <c r="B40" s="3" t="s">
        <v>9</v>
      </c>
      <c r="C40" s="3" t="s">
        <v>9</v>
      </c>
      <c r="D40" s="14" t="s">
        <v>42</v>
      </c>
      <c r="E40" s="3" t="str">
        <f t="shared" si="0"/>
        <v>GCLRS3Controls RegisterControls Register</v>
      </c>
      <c r="F40" s="3" t="s">
        <v>185</v>
      </c>
    </row>
    <row r="41" spans="1:6" hidden="1" x14ac:dyDescent="0.25">
      <c r="A41" s="3" t="s">
        <v>11</v>
      </c>
      <c r="B41" s="3" t="s">
        <v>317</v>
      </c>
      <c r="C41" s="3" t="s">
        <v>316</v>
      </c>
      <c r="D41" s="14" t="s">
        <v>318</v>
      </c>
      <c r="E41" s="3" t="str">
        <f t="shared" si="0"/>
        <v>GCLRS3TLE RegisterTLE</v>
      </c>
      <c r="F41" s="3" t="s">
        <v>319</v>
      </c>
    </row>
    <row r="42" spans="1:6" hidden="1" x14ac:dyDescent="0.25">
      <c r="A42" s="3" t="s">
        <v>11</v>
      </c>
      <c r="B42" s="3" t="s">
        <v>36</v>
      </c>
      <c r="C42" s="3" t="s">
        <v>36</v>
      </c>
      <c r="D42" s="14" t="s">
        <v>40</v>
      </c>
      <c r="E42" s="3" t="str">
        <f t="shared" si="0"/>
        <v>GCLRS3HF Issues RegisterHF Issues Register</v>
      </c>
      <c r="F42" s="3" t="s">
        <v>187</v>
      </c>
    </row>
    <row r="43" spans="1:6" hidden="1" x14ac:dyDescent="0.25">
      <c r="A43" s="3" t="s">
        <v>11</v>
      </c>
      <c r="B43" s="3" t="s">
        <v>339</v>
      </c>
      <c r="C43" s="3" t="s">
        <v>339</v>
      </c>
      <c r="D43" s="14" t="s">
        <v>338</v>
      </c>
      <c r="E43" s="3" t="str">
        <f t="shared" si="0"/>
        <v>GCLRS3ADC RegisterADC Register</v>
      </c>
      <c r="F43" s="3" t="s">
        <v>183</v>
      </c>
    </row>
    <row r="44" spans="1:6" hidden="1" x14ac:dyDescent="0.25">
      <c r="A44" s="3" t="s">
        <v>375</v>
      </c>
      <c r="B44" s="3" t="s">
        <v>313</v>
      </c>
      <c r="C44" s="3" t="s">
        <v>315</v>
      </c>
      <c r="D44" s="14" t="s">
        <v>376</v>
      </c>
      <c r="E44" s="3" t="str">
        <f t="shared" si="0"/>
        <v>GCLRS3_C2&lt;&lt;RVTM&gt;&gt;n/a</v>
      </c>
      <c r="F44" s="3" t="s">
        <v>314</v>
      </c>
    </row>
    <row r="45" spans="1:6" hidden="1" x14ac:dyDescent="0.25">
      <c r="A45" s="3" t="s">
        <v>375</v>
      </c>
      <c r="B45" s="3" t="s">
        <v>4</v>
      </c>
      <c r="C45" s="3" t="s">
        <v>4</v>
      </c>
      <c r="D45" s="14" t="s">
        <v>396</v>
      </c>
      <c r="E45" s="3" t="str">
        <f t="shared" si="0"/>
        <v>GCLRS3_C2Document RegisterDocument Register</v>
      </c>
      <c r="F45" s="3" t="s">
        <v>192</v>
      </c>
    </row>
    <row r="46" spans="1:6" ht="30" hidden="1" x14ac:dyDescent="0.25">
      <c r="A46" s="3" t="s">
        <v>375</v>
      </c>
      <c r="B46" s="3" t="s">
        <v>2</v>
      </c>
      <c r="C46" s="3" t="s">
        <v>59</v>
      </c>
      <c r="D46" s="14" t="s">
        <v>495</v>
      </c>
      <c r="E46" s="3" t="str">
        <f t="shared" si="0"/>
        <v>GCLRS3_C2Requirement SpecificationGeneral Requirements View</v>
      </c>
      <c r="F46" s="3" t="s">
        <v>188</v>
      </c>
    </row>
    <row r="47" spans="1:6" hidden="1" x14ac:dyDescent="0.25">
      <c r="A47" s="3" t="s">
        <v>375</v>
      </c>
      <c r="B47" s="3" t="s">
        <v>2</v>
      </c>
      <c r="C47" s="3" t="s">
        <v>400</v>
      </c>
      <c r="D47" s="14" t="s">
        <v>390</v>
      </c>
      <c r="E47" s="3" t="str">
        <f t="shared" si="0"/>
        <v>GCLRS3_C2Requirement SpecificationCompletion</v>
      </c>
      <c r="F47" s="3" t="s">
        <v>389</v>
      </c>
    </row>
    <row r="48" spans="1:6" hidden="1" x14ac:dyDescent="0.25">
      <c r="A48" s="3" t="s">
        <v>375</v>
      </c>
      <c r="B48" s="3" t="s">
        <v>7</v>
      </c>
      <c r="C48" s="3" t="s">
        <v>60</v>
      </c>
      <c r="D48" s="14" t="s">
        <v>40</v>
      </c>
      <c r="E48" s="3" t="str">
        <f t="shared" si="0"/>
        <v>GCLRS3_C2RVTM01 Verification-Design</v>
      </c>
      <c r="F48" s="3" t="s">
        <v>189</v>
      </c>
    </row>
    <row r="49" spans="1:7" hidden="1" x14ac:dyDescent="0.25">
      <c r="A49" s="3" t="s">
        <v>375</v>
      </c>
      <c r="B49" s="3" t="s">
        <v>7</v>
      </c>
      <c r="C49" s="3" t="s">
        <v>400</v>
      </c>
      <c r="D49" s="14" t="s">
        <v>370</v>
      </c>
      <c r="E49" s="3" t="str">
        <f t="shared" si="0"/>
        <v>GCLRS3_C2RVTMCompletion</v>
      </c>
      <c r="F49" s="3" t="s">
        <v>371</v>
      </c>
    </row>
    <row r="50" spans="1:7" ht="30" hidden="1" x14ac:dyDescent="0.25">
      <c r="A50" s="3" t="s">
        <v>375</v>
      </c>
      <c r="B50" s="3" t="s">
        <v>7</v>
      </c>
      <c r="C50" s="3" t="s">
        <v>491</v>
      </c>
      <c r="D50" s="3" t="s">
        <v>493</v>
      </c>
      <c r="E50" s="3" t="str">
        <f t="shared" si="0"/>
        <v>GCLRS3_C2RVTM04 Verification and Validation</v>
      </c>
      <c r="F50" s="3" t="s">
        <v>494</v>
      </c>
    </row>
    <row r="51" spans="1:7" ht="30" hidden="1" x14ac:dyDescent="0.25">
      <c r="A51" s="3" t="s">
        <v>402</v>
      </c>
      <c r="B51" s="3" t="s">
        <v>2</v>
      </c>
      <c r="C51" s="3" t="s">
        <v>59</v>
      </c>
      <c r="D51" s="14" t="s">
        <v>401</v>
      </c>
      <c r="E51" s="3" t="str">
        <f t="shared" si="0"/>
        <v>GCLRS3_C3Requirement SpecificationGeneral Requirements View</v>
      </c>
      <c r="F51" s="3" t="s">
        <v>188</v>
      </c>
    </row>
    <row r="52" spans="1:7" hidden="1" x14ac:dyDescent="0.25">
      <c r="A52" s="3" t="s">
        <v>600</v>
      </c>
      <c r="B52" s="3" t="s">
        <v>259</v>
      </c>
      <c r="C52" s="3" t="s">
        <v>59</v>
      </c>
      <c r="D52" s="14" t="s">
        <v>601</v>
      </c>
      <c r="E52" s="3" t="str">
        <f t="shared" si="0"/>
        <v>I2SRAATMGeneral Requirements View</v>
      </c>
      <c r="F52" s="3" t="str">
        <f t="shared" ref="F52:F70" si="2">C52</f>
        <v>General Requirements View</v>
      </c>
      <c r="G52">
        <v>2</v>
      </c>
    </row>
    <row r="53" spans="1:7" hidden="1" x14ac:dyDescent="0.25">
      <c r="A53" s="3" t="s">
        <v>600</v>
      </c>
      <c r="B53" s="3" t="s">
        <v>1189</v>
      </c>
      <c r="C53" s="3" t="s">
        <v>60</v>
      </c>
      <c r="D53" s="14" t="s">
        <v>1304</v>
      </c>
      <c r="E53" s="3" t="str">
        <f t="shared" si="0"/>
        <v>I2SVCRM01 Verification-Design</v>
      </c>
      <c r="F53" s="3" t="str">
        <f t="shared" si="2"/>
        <v>01 Verification-Design</v>
      </c>
    </row>
    <row r="54" spans="1:7" hidden="1" x14ac:dyDescent="0.25">
      <c r="A54" s="3" t="s">
        <v>600</v>
      </c>
      <c r="B54" s="3" t="s">
        <v>1375</v>
      </c>
      <c r="C54" s="3" t="s">
        <v>798</v>
      </c>
      <c r="D54" s="14" t="s">
        <v>1319</v>
      </c>
      <c r="E54" s="3" t="str">
        <f t="shared" si="0"/>
        <v>I2SVCRM-PlanVerification-Process</v>
      </c>
      <c r="F54" s="3" t="str">
        <f t="shared" si="2"/>
        <v>Verification-Process</v>
      </c>
    </row>
    <row r="55" spans="1:7" hidden="1" x14ac:dyDescent="0.25">
      <c r="A55" s="3" t="s">
        <v>600</v>
      </c>
      <c r="B55" s="3" t="s">
        <v>1189</v>
      </c>
      <c r="C55" s="3" t="s">
        <v>1367</v>
      </c>
      <c r="D55" s="14" t="s">
        <v>1368</v>
      </c>
      <c r="E55" s="3" t="str">
        <f t="shared" si="0"/>
        <v>I2SVCRMUnallocated</v>
      </c>
      <c r="F55" s="3" t="str">
        <f t="shared" si="2"/>
        <v>Unallocated</v>
      </c>
    </row>
    <row r="56" spans="1:7" hidden="1" x14ac:dyDescent="0.25">
      <c r="A56" s="3" t="s">
        <v>600</v>
      </c>
      <c r="B56" s="3" t="s">
        <v>1189</v>
      </c>
      <c r="C56" s="3" t="s">
        <v>1369</v>
      </c>
      <c r="D56" s="14" t="s">
        <v>1370</v>
      </c>
      <c r="E56" s="3" t="str">
        <f t="shared" si="0"/>
        <v>I2SVCRM_Link by Attribute</v>
      </c>
      <c r="F56" s="3" t="str">
        <f t="shared" si="2"/>
        <v>_Link by Attribute</v>
      </c>
    </row>
    <row r="57" spans="1:7" hidden="1" x14ac:dyDescent="0.25">
      <c r="A57" s="3" t="s">
        <v>600</v>
      </c>
      <c r="B57" s="3" t="s">
        <v>259</v>
      </c>
      <c r="C57" s="3" t="s">
        <v>1393</v>
      </c>
      <c r="D57" s="14" t="s">
        <v>1394</v>
      </c>
      <c r="E57" s="3" t="str">
        <f t="shared" si="0"/>
        <v>I2SRAATMIRPL RAATM Export</v>
      </c>
      <c r="F57" s="3" t="str">
        <f t="shared" si="2"/>
        <v>IRPL RAATM Export</v>
      </c>
    </row>
    <row r="58" spans="1:7" hidden="1" x14ac:dyDescent="0.25">
      <c r="A58" s="3" t="s">
        <v>600</v>
      </c>
      <c r="B58" s="3" t="s">
        <v>1189</v>
      </c>
      <c r="C58" s="3" t="s">
        <v>1395</v>
      </c>
      <c r="D58" s="14" t="s">
        <v>1396</v>
      </c>
      <c r="E58" s="3" t="str">
        <f t="shared" si="0"/>
        <v>I2SVCRMIRPL VCRM Export</v>
      </c>
      <c r="F58" s="3" t="str">
        <f t="shared" si="2"/>
        <v>IRPL VCRM Export</v>
      </c>
    </row>
    <row r="59" spans="1:7" ht="30" x14ac:dyDescent="0.25">
      <c r="A59" s="3" t="s">
        <v>1318</v>
      </c>
      <c r="B59" s="3" t="s">
        <v>1420</v>
      </c>
      <c r="C59" s="3" t="s">
        <v>1428</v>
      </c>
      <c r="D59" s="14" t="s">
        <v>1427</v>
      </c>
      <c r="E59" s="3" t="str">
        <f t="shared" si="0"/>
        <v>I2S-IRPLRAATM (JH)General Requirements View (JH)</v>
      </c>
      <c r="F59" s="3" t="str">
        <f t="shared" si="2"/>
        <v>General Requirements View (JH)</v>
      </c>
      <c r="G59">
        <v>2</v>
      </c>
    </row>
    <row r="60" spans="1:7" ht="30" x14ac:dyDescent="0.25">
      <c r="A60" s="3" t="s">
        <v>1318</v>
      </c>
      <c r="B60" s="3" t="s">
        <v>421</v>
      </c>
      <c r="C60" s="3" t="s">
        <v>1424</v>
      </c>
      <c r="D60" s="14" t="s">
        <v>1423</v>
      </c>
      <c r="E60" s="3" t="str">
        <f t="shared" si="0"/>
        <v>I2S-IRPLDesign Package01 Verification-Design (JH)</v>
      </c>
      <c r="F60" s="3" t="str">
        <f t="shared" si="2"/>
        <v>01 Verification-Design (JH)</v>
      </c>
    </row>
    <row r="61" spans="1:7" ht="30" x14ac:dyDescent="0.25">
      <c r="A61" s="3" t="s">
        <v>1318</v>
      </c>
      <c r="B61" s="3" t="s">
        <v>421</v>
      </c>
      <c r="C61" s="3" t="s">
        <v>1426</v>
      </c>
      <c r="D61" s="14" t="s">
        <v>1425</v>
      </c>
      <c r="E61" s="3" t="str">
        <f t="shared" si="0"/>
        <v>I2S-IRPLDesign Package02 Verification-Process (JH)</v>
      </c>
      <c r="F61" s="3" t="str">
        <f t="shared" ref="F61:F64" si="3">C61</f>
        <v>02 Verification-Process (JH)</v>
      </c>
    </row>
    <row r="62" spans="1:7" x14ac:dyDescent="0.25">
      <c r="A62" s="3" t="s">
        <v>1318</v>
      </c>
      <c r="B62" s="3" t="s">
        <v>421</v>
      </c>
      <c r="C62" s="3" t="s">
        <v>422</v>
      </c>
      <c r="D62" s="14" t="s">
        <v>1451</v>
      </c>
      <c r="E62" s="3" t="str">
        <f t="shared" ref="E62:E63" si="4">A62&amp;B62&amp;C62</f>
        <v>I2S-IRPLDesign PackageVerification</v>
      </c>
      <c r="F62" s="3" t="str">
        <f t="shared" ref="F62:F63" si="5">C62</f>
        <v>Verification</v>
      </c>
    </row>
    <row r="63" spans="1:7" x14ac:dyDescent="0.25">
      <c r="A63" s="3" t="s">
        <v>1318</v>
      </c>
      <c r="B63" s="3" t="s">
        <v>1420</v>
      </c>
      <c r="C63" s="3" t="s">
        <v>1179</v>
      </c>
      <c r="D63" s="14" t="s">
        <v>1453</v>
      </c>
      <c r="E63" s="3" t="str">
        <f t="shared" si="4"/>
        <v>I2S-IRPLRAATM (JH)SSRS</v>
      </c>
      <c r="F63" s="3" t="str">
        <f t="shared" si="5"/>
        <v>SSRS</v>
      </c>
    </row>
    <row r="64" spans="1:7" x14ac:dyDescent="0.25">
      <c r="A64" s="3" t="s">
        <v>1318</v>
      </c>
      <c r="B64" s="3" t="s">
        <v>1175</v>
      </c>
      <c r="C64" s="3" t="s">
        <v>1452</v>
      </c>
      <c r="D64" s="14" t="s">
        <v>1461</v>
      </c>
      <c r="E64" s="3" t="str">
        <f t="shared" ref="E64" si="6">A64&amp;B64&amp;C64</f>
        <v>I2S-IRPLRequirements SpecificationPSR</v>
      </c>
      <c r="F64" s="3" t="str">
        <f t="shared" si="3"/>
        <v>PSR</v>
      </c>
      <c r="G64">
        <v>2</v>
      </c>
    </row>
    <row r="65" spans="1:6" hidden="1" x14ac:dyDescent="0.25">
      <c r="A65" s="3" t="s">
        <v>651</v>
      </c>
      <c r="B65" s="3" t="s">
        <v>29</v>
      </c>
      <c r="C65" s="3" t="s">
        <v>59</v>
      </c>
      <c r="D65" s="14" t="s">
        <v>653</v>
      </c>
      <c r="E65" s="3" t="str">
        <f t="shared" si="0"/>
        <v>JH-REI-001RATMGeneral Requirements View</v>
      </c>
      <c r="F65" s="3" t="str">
        <f t="shared" si="2"/>
        <v>General Requirements View</v>
      </c>
    </row>
    <row r="66" spans="1:6" hidden="1" x14ac:dyDescent="0.25">
      <c r="A66" s="3" t="s">
        <v>924</v>
      </c>
      <c r="B66" s="3" t="s">
        <v>29</v>
      </c>
      <c r="C66" s="3" t="s">
        <v>353</v>
      </c>
      <c r="D66" s="18" t="s">
        <v>1008</v>
      </c>
      <c r="E66" s="3" t="str">
        <f t="shared" si="0"/>
        <v>LGCRATMRATM(Tender)</v>
      </c>
      <c r="F66" s="3" t="s">
        <v>1007</v>
      </c>
    </row>
    <row r="67" spans="1:6" hidden="1" x14ac:dyDescent="0.25">
      <c r="A67" s="3" t="s">
        <v>924</v>
      </c>
      <c r="B67" s="3" t="s">
        <v>29</v>
      </c>
      <c r="C67" s="3" t="s">
        <v>1308</v>
      </c>
      <c r="D67" s="18" t="s">
        <v>1310</v>
      </c>
      <c r="E67" s="3" t="str">
        <f t="shared" si="0"/>
        <v>LGCRATMDepartures(Tender)</v>
      </c>
      <c r="F67" s="3" t="s">
        <v>1309</v>
      </c>
    </row>
    <row r="68" spans="1:6" hidden="1" x14ac:dyDescent="0.25">
      <c r="A68" s="3" t="s">
        <v>924</v>
      </c>
      <c r="B68" s="3" t="s">
        <v>29</v>
      </c>
      <c r="C68" s="3" t="s">
        <v>59</v>
      </c>
      <c r="D68" s="18" t="s">
        <v>927</v>
      </c>
      <c r="E68" s="3" t="str">
        <f t="shared" si="0"/>
        <v>LGCRATMGeneral Requirements View</v>
      </c>
      <c r="F68" s="3" t="s">
        <v>188</v>
      </c>
    </row>
    <row r="69" spans="1:6" hidden="1" x14ac:dyDescent="0.25">
      <c r="A69" s="3" t="s">
        <v>924</v>
      </c>
      <c r="B69" s="3" t="s">
        <v>7</v>
      </c>
      <c r="C69" s="3" t="s">
        <v>60</v>
      </c>
      <c r="D69" s="18" t="s">
        <v>928</v>
      </c>
      <c r="E69" s="3" t="str">
        <f t="shared" ref="E69:E113" si="7">A69&amp;B69&amp;C69</f>
        <v>LGCRVTM01 Verification-Design</v>
      </c>
      <c r="F69" s="3" t="s">
        <v>189</v>
      </c>
    </row>
    <row r="70" spans="1:6" hidden="1" x14ac:dyDescent="0.25">
      <c r="A70" s="3" t="s">
        <v>1376</v>
      </c>
      <c r="B70" s="3" t="s">
        <v>29</v>
      </c>
      <c r="C70" s="3" t="s">
        <v>59</v>
      </c>
      <c r="D70" s="14" t="s">
        <v>1402</v>
      </c>
      <c r="E70" s="3" t="str">
        <f t="shared" si="7"/>
        <v>M5RATMGeneral Requirements View</v>
      </c>
      <c r="F70" s="3" t="str">
        <f t="shared" si="2"/>
        <v>General Requirements View</v>
      </c>
    </row>
    <row r="71" spans="1:6" ht="30" hidden="1" x14ac:dyDescent="0.25">
      <c r="A71" s="3" t="s">
        <v>427</v>
      </c>
      <c r="B71" s="3" t="s">
        <v>2</v>
      </c>
      <c r="C71" s="3" t="s">
        <v>59</v>
      </c>
      <c r="D71" s="3" t="s">
        <v>634</v>
      </c>
      <c r="E71" s="3" t="str">
        <f t="shared" si="7"/>
        <v>M7-M12Requirement SpecificationGeneral Requirements View</v>
      </c>
      <c r="F71" s="3" t="s">
        <v>188</v>
      </c>
    </row>
    <row r="72" spans="1:6" hidden="1" x14ac:dyDescent="0.25">
      <c r="A72" s="3" t="s">
        <v>427</v>
      </c>
      <c r="B72" s="3" t="s">
        <v>2</v>
      </c>
      <c r="C72" s="3" t="s">
        <v>643</v>
      </c>
      <c r="D72" s="3" t="s">
        <v>644</v>
      </c>
      <c r="E72" s="3" t="str">
        <f t="shared" si="7"/>
        <v>M7-M12Requirement SpecificationJust Ids</v>
      </c>
      <c r="F72" s="3" t="s">
        <v>645</v>
      </c>
    </row>
    <row r="73" spans="1:6" ht="30" hidden="1" x14ac:dyDescent="0.25">
      <c r="A73" s="3" t="s">
        <v>14</v>
      </c>
      <c r="B73" s="3" t="s">
        <v>2</v>
      </c>
      <c r="C73" s="3" t="s">
        <v>59</v>
      </c>
      <c r="D73" s="14" t="s">
        <v>441</v>
      </c>
      <c r="E73" s="3" t="str">
        <f t="shared" si="7"/>
        <v>MARRequirement SpecificationGeneral Requirements View</v>
      </c>
      <c r="F73" s="3" t="s">
        <v>188</v>
      </c>
    </row>
    <row r="74" spans="1:6" ht="30" hidden="1" x14ac:dyDescent="0.25">
      <c r="A74" s="3" t="s">
        <v>14</v>
      </c>
      <c r="B74" s="3" t="s">
        <v>2</v>
      </c>
      <c r="C74" s="3" t="s">
        <v>415</v>
      </c>
      <c r="D74" s="14" t="s">
        <v>414</v>
      </c>
      <c r="E74" s="3" t="str">
        <f t="shared" si="7"/>
        <v>MARRequirement SpecificationGeneral Requirements View-Changes</v>
      </c>
      <c r="F74" s="3" t="s">
        <v>188</v>
      </c>
    </row>
    <row r="75" spans="1:6" hidden="1" x14ac:dyDescent="0.25">
      <c r="A75" s="3" t="s">
        <v>14</v>
      </c>
      <c r="B75" s="3" t="s">
        <v>7</v>
      </c>
      <c r="C75" s="3" t="s">
        <v>60</v>
      </c>
      <c r="D75" s="14" t="s">
        <v>45</v>
      </c>
      <c r="E75" s="3" t="str">
        <f t="shared" si="7"/>
        <v>MARRVTM01 Verification-Design</v>
      </c>
      <c r="F75" s="3" t="s">
        <v>189</v>
      </c>
    </row>
    <row r="76" spans="1:6" hidden="1" x14ac:dyDescent="0.25">
      <c r="A76" s="20" t="s">
        <v>14</v>
      </c>
      <c r="B76" s="20" t="s">
        <v>538</v>
      </c>
      <c r="C76" s="20" t="s">
        <v>540</v>
      </c>
      <c r="D76" s="19" t="s">
        <v>543</v>
      </c>
      <c r="E76" s="3" t="str">
        <f t="shared" si="7"/>
        <v>MARPSTR DocumentPSTR Document view</v>
      </c>
      <c r="F76" s="20" t="s">
        <v>541</v>
      </c>
    </row>
    <row r="77" spans="1:6" hidden="1" x14ac:dyDescent="0.25">
      <c r="A77" s="20" t="s">
        <v>14</v>
      </c>
      <c r="B77" s="20" t="s">
        <v>526</v>
      </c>
      <c r="C77" s="20" t="s">
        <v>533</v>
      </c>
      <c r="D77" s="19" t="s">
        <v>539</v>
      </c>
      <c r="E77" s="3" t="str">
        <f t="shared" si="7"/>
        <v>MARGeneral DocumentSSA Requirement</v>
      </c>
      <c r="F77" s="20" t="str">
        <f>B77</f>
        <v>General Document</v>
      </c>
    </row>
    <row r="78" spans="1:6" hidden="1" x14ac:dyDescent="0.25">
      <c r="A78" s="20" t="s">
        <v>523</v>
      </c>
      <c r="B78" s="20" t="s">
        <v>538</v>
      </c>
      <c r="C78" s="20" t="s">
        <v>540</v>
      </c>
      <c r="D78" s="19" t="s">
        <v>543</v>
      </c>
      <c r="E78" s="3" t="str">
        <f t="shared" si="7"/>
        <v>MAR-SSAPSTR DocumentPSTR Document view</v>
      </c>
      <c r="F78" s="20" t="s">
        <v>541</v>
      </c>
    </row>
    <row r="79" spans="1:6" hidden="1" x14ac:dyDescent="0.25">
      <c r="A79" s="20" t="s">
        <v>523</v>
      </c>
      <c r="B79" s="20" t="s">
        <v>526</v>
      </c>
      <c r="C79" s="20" t="s">
        <v>533</v>
      </c>
      <c r="D79" s="19" t="s">
        <v>539</v>
      </c>
      <c r="E79" s="3" t="str">
        <f t="shared" si="7"/>
        <v>MAR-SSAGeneral DocumentSSA Requirement</v>
      </c>
      <c r="F79" s="20" t="str">
        <f>B79</f>
        <v>General Document</v>
      </c>
    </row>
    <row r="80" spans="1:6" hidden="1" x14ac:dyDescent="0.25">
      <c r="A80" s="3" t="s">
        <v>13</v>
      </c>
      <c r="B80" s="3" t="s">
        <v>30</v>
      </c>
      <c r="C80" s="3" t="s">
        <v>30</v>
      </c>
      <c r="D80" s="14" t="s">
        <v>48</v>
      </c>
      <c r="E80" s="3" t="str">
        <f t="shared" si="7"/>
        <v>MTMS2NADC LogADC Log</v>
      </c>
      <c r="F80" s="3" t="s">
        <v>183</v>
      </c>
    </row>
    <row r="81" spans="1:6" hidden="1" x14ac:dyDescent="0.25">
      <c r="A81" s="3" t="s">
        <v>13</v>
      </c>
      <c r="B81" s="3" t="s">
        <v>8</v>
      </c>
      <c r="C81" s="3" t="s">
        <v>8</v>
      </c>
      <c r="D81" s="14" t="s">
        <v>195</v>
      </c>
      <c r="E81" s="3" t="str">
        <f t="shared" si="7"/>
        <v>MTMS2NCauses RegisterCauses Register</v>
      </c>
      <c r="F81" s="3" t="s">
        <v>184</v>
      </c>
    </row>
    <row r="82" spans="1:6" hidden="1" x14ac:dyDescent="0.25">
      <c r="A82" s="3" t="s">
        <v>13</v>
      </c>
      <c r="B82" s="3" t="s">
        <v>32</v>
      </c>
      <c r="C82" s="3" t="s">
        <v>252</v>
      </c>
      <c r="D82" s="14" t="s">
        <v>253</v>
      </c>
      <c r="E82" s="3" t="str">
        <f t="shared" si="7"/>
        <v>MTMS2NChange LogChange Journal</v>
      </c>
      <c r="F82" s="3" t="s">
        <v>254</v>
      </c>
    </row>
    <row r="83" spans="1:6" hidden="1" x14ac:dyDescent="0.25">
      <c r="A83" s="3" t="s">
        <v>13</v>
      </c>
      <c r="B83" s="3" t="s">
        <v>9</v>
      </c>
      <c r="C83" s="3" t="s">
        <v>9</v>
      </c>
      <c r="D83" s="14" t="s">
        <v>49</v>
      </c>
      <c r="E83" s="3" t="str">
        <f t="shared" si="7"/>
        <v>MTMS2NControls RegisterControls Register</v>
      </c>
      <c r="F83" s="3" t="s">
        <v>185</v>
      </c>
    </row>
    <row r="84" spans="1:6" hidden="1" x14ac:dyDescent="0.25">
      <c r="A84" s="3" t="s">
        <v>13</v>
      </c>
      <c r="B84" s="3" t="s">
        <v>4</v>
      </c>
      <c r="C84" s="3" t="s">
        <v>33</v>
      </c>
      <c r="D84" s="44" t="s">
        <v>57</v>
      </c>
      <c r="E84" s="3" t="str">
        <f t="shared" si="7"/>
        <v>MTMS2NDocument RegisterWorklots</v>
      </c>
      <c r="F84" s="3" t="s">
        <v>194</v>
      </c>
    </row>
    <row r="85" spans="1:6" hidden="1" x14ac:dyDescent="0.25">
      <c r="A85" s="3" t="s">
        <v>13</v>
      </c>
      <c r="B85" s="3" t="s">
        <v>55</v>
      </c>
      <c r="C85" s="3" t="s">
        <v>218</v>
      </c>
      <c r="D85" s="44" t="s">
        <v>56</v>
      </c>
      <c r="E85" s="3" t="str">
        <f t="shared" si="7"/>
        <v>MTMS2NDocument Register AconexAconex</v>
      </c>
      <c r="F85" s="3" t="s">
        <v>193</v>
      </c>
    </row>
    <row r="86" spans="1:6" ht="30" hidden="1" x14ac:dyDescent="0.25">
      <c r="A86" s="3" t="s">
        <v>13</v>
      </c>
      <c r="B86" s="3" t="s">
        <v>34</v>
      </c>
      <c r="C86" s="3" t="s">
        <v>60</v>
      </c>
      <c r="D86" s="44" t="s">
        <v>53</v>
      </c>
      <c r="E86" s="3" t="str">
        <f t="shared" si="7"/>
        <v>MTMS2NEngineering Assurance Register01 Verification-Design</v>
      </c>
      <c r="F86" s="3" t="s">
        <v>189</v>
      </c>
    </row>
    <row r="87" spans="1:6" ht="30" hidden="1" x14ac:dyDescent="0.25">
      <c r="A87" s="3" t="s">
        <v>13</v>
      </c>
      <c r="B87" s="3" t="s">
        <v>34</v>
      </c>
      <c r="C87" s="3" t="s">
        <v>61</v>
      </c>
      <c r="D87" s="14" t="s">
        <v>54</v>
      </c>
      <c r="E87" s="3" t="str">
        <f t="shared" si="7"/>
        <v>MTMS2NEngineering Assurance Register02 Verification-Production</v>
      </c>
      <c r="F87" s="3" t="s">
        <v>190</v>
      </c>
    </row>
    <row r="88" spans="1:6" ht="30" hidden="1" x14ac:dyDescent="0.25">
      <c r="A88" s="3" t="s">
        <v>13</v>
      </c>
      <c r="B88" s="3" t="s">
        <v>34</v>
      </c>
      <c r="C88" s="3" t="s">
        <v>62</v>
      </c>
      <c r="D88" s="14" t="s">
        <v>40</v>
      </c>
      <c r="E88" s="3" t="str">
        <f t="shared" si="7"/>
        <v>MTMS2NEngineering Assurance Register03 Validation</v>
      </c>
      <c r="F88" s="3" t="s">
        <v>191</v>
      </c>
    </row>
    <row r="89" spans="1:6" hidden="1" x14ac:dyDescent="0.25">
      <c r="A89" s="3" t="s">
        <v>13</v>
      </c>
      <c r="B89" s="3" t="s">
        <v>10</v>
      </c>
      <c r="C89" s="3" t="s">
        <v>10</v>
      </c>
      <c r="D89" s="14" t="s">
        <v>50</v>
      </c>
      <c r="E89" s="3" t="str">
        <f t="shared" si="7"/>
        <v>MTMS2NHazards RegisterHazards Register</v>
      </c>
      <c r="F89" s="3" t="s">
        <v>186</v>
      </c>
    </row>
    <row r="90" spans="1:6" hidden="1" x14ac:dyDescent="0.25">
      <c r="A90" s="3" t="s">
        <v>13</v>
      </c>
      <c r="B90" s="3" t="s">
        <v>36</v>
      </c>
      <c r="C90" s="3" t="s">
        <v>36</v>
      </c>
      <c r="D90" s="14" t="s">
        <v>51</v>
      </c>
      <c r="E90" s="3" t="str">
        <f t="shared" si="7"/>
        <v>MTMS2NHF Issues RegisterHF Issues Register</v>
      </c>
      <c r="F90" s="3" t="s">
        <v>187</v>
      </c>
    </row>
    <row r="91" spans="1:6" hidden="1" x14ac:dyDescent="0.25">
      <c r="A91" s="3" t="s">
        <v>13</v>
      </c>
      <c r="B91" s="3" t="s">
        <v>38</v>
      </c>
      <c r="C91" s="3" t="s">
        <v>196</v>
      </c>
      <c r="D91" s="14" t="s">
        <v>197</v>
      </c>
      <c r="E91" s="3" t="str">
        <f t="shared" si="7"/>
        <v>MTMS2NPrincipal Design SRSSRS</v>
      </c>
      <c r="F91" s="3" t="s">
        <v>198</v>
      </c>
    </row>
    <row r="92" spans="1:6" ht="30" hidden="1" x14ac:dyDescent="0.25">
      <c r="A92" s="3" t="s">
        <v>13</v>
      </c>
      <c r="B92" s="3" t="s">
        <v>2</v>
      </c>
      <c r="C92" s="3" t="s">
        <v>59</v>
      </c>
      <c r="D92" s="14" t="s">
        <v>52</v>
      </c>
      <c r="E92" s="3" t="str">
        <f t="shared" si="7"/>
        <v>MTMS2NRequirement SpecificationGeneral Requirements View</v>
      </c>
      <c r="F92" s="3" t="s">
        <v>188</v>
      </c>
    </row>
    <row r="93" spans="1:6" hidden="1" x14ac:dyDescent="0.25">
      <c r="A93" s="3" t="s">
        <v>456</v>
      </c>
      <c r="B93" s="3" t="s">
        <v>30</v>
      </c>
      <c r="C93" s="3" t="s">
        <v>591</v>
      </c>
      <c r="D93" s="18" t="s">
        <v>593</v>
      </c>
      <c r="E93" s="3" t="str">
        <f t="shared" si="7"/>
        <v>MTMS3AADC LogADC</v>
      </c>
      <c r="F93" s="3" t="s">
        <v>183</v>
      </c>
    </row>
    <row r="94" spans="1:6" ht="30" hidden="1" x14ac:dyDescent="0.25">
      <c r="A94" s="3" t="s">
        <v>456</v>
      </c>
      <c r="B94" s="3" t="s">
        <v>31</v>
      </c>
      <c r="C94" s="3" t="s">
        <v>617</v>
      </c>
      <c r="D94" s="3" t="s">
        <v>625</v>
      </c>
      <c r="E94" s="3" t="str">
        <f t="shared" si="7"/>
        <v>MTMS3ABRSBusiness Requirement Specification</v>
      </c>
      <c r="F94" s="3" t="s">
        <v>618</v>
      </c>
    </row>
    <row r="95" spans="1:6" hidden="1" x14ac:dyDescent="0.25">
      <c r="A95" s="3" t="s">
        <v>456</v>
      </c>
      <c r="B95" s="3" t="s">
        <v>8</v>
      </c>
      <c r="C95" s="3" t="s">
        <v>589</v>
      </c>
      <c r="D95" s="18" t="s">
        <v>594</v>
      </c>
      <c r="E95" s="3" t="str">
        <f t="shared" si="7"/>
        <v>MTMS3ACauses RegisterCauses</v>
      </c>
      <c r="F95" s="3" t="s">
        <v>184</v>
      </c>
    </row>
    <row r="96" spans="1:6" hidden="1" x14ac:dyDescent="0.25">
      <c r="A96" s="3" t="s">
        <v>456</v>
      </c>
      <c r="B96" s="3" t="s">
        <v>32</v>
      </c>
      <c r="C96" s="3" t="s">
        <v>252</v>
      </c>
      <c r="D96" s="19" t="s">
        <v>253</v>
      </c>
      <c r="E96" s="3" t="str">
        <f t="shared" si="7"/>
        <v>MTMS3AChange LogChange Journal</v>
      </c>
      <c r="F96" s="3" t="s">
        <v>254</v>
      </c>
    </row>
    <row r="97" spans="1:6" hidden="1" x14ac:dyDescent="0.25">
      <c r="A97" s="3" t="s">
        <v>456</v>
      </c>
      <c r="B97" s="3" t="s">
        <v>9</v>
      </c>
      <c r="C97" s="3" t="s">
        <v>590</v>
      </c>
      <c r="D97" s="18" t="s">
        <v>595</v>
      </c>
      <c r="E97" s="3" t="str">
        <f t="shared" si="7"/>
        <v>MTMS3AControls RegisterControls</v>
      </c>
      <c r="F97" s="3" t="s">
        <v>185</v>
      </c>
    </row>
    <row r="98" spans="1:6" ht="30" hidden="1" x14ac:dyDescent="0.25">
      <c r="A98" s="3" t="s">
        <v>456</v>
      </c>
      <c r="B98" s="3" t="s">
        <v>34</v>
      </c>
      <c r="C98" s="3" t="s">
        <v>60</v>
      </c>
      <c r="D98" s="18" t="s">
        <v>592</v>
      </c>
      <c r="E98" s="3" t="str">
        <f t="shared" si="7"/>
        <v>MTMS3AEngineering Assurance Register01 Verification-Design</v>
      </c>
      <c r="F98" s="3" t="s">
        <v>494</v>
      </c>
    </row>
    <row r="99" spans="1:6" hidden="1" x14ac:dyDescent="0.25">
      <c r="A99" s="3" t="s">
        <v>456</v>
      </c>
      <c r="B99" s="3" t="s">
        <v>10</v>
      </c>
      <c r="C99" s="3" t="s">
        <v>10</v>
      </c>
      <c r="D99" s="18" t="s">
        <v>596</v>
      </c>
      <c r="E99" s="3" t="str">
        <f t="shared" si="7"/>
        <v>MTMS3AHazards RegisterHazards Register</v>
      </c>
      <c r="F99" s="3" t="s">
        <v>186</v>
      </c>
    </row>
    <row r="100" spans="1:6" hidden="1" x14ac:dyDescent="0.25">
      <c r="A100" s="3" t="s">
        <v>456</v>
      </c>
      <c r="B100" s="3" t="s">
        <v>36</v>
      </c>
      <c r="C100" s="3" t="s">
        <v>36</v>
      </c>
      <c r="D100" s="18" t="s">
        <v>597</v>
      </c>
      <c r="E100" s="3" t="str">
        <f t="shared" si="7"/>
        <v>MTMS3AHF Issues RegisterHF Issues Register</v>
      </c>
      <c r="F100" s="3" t="s">
        <v>187</v>
      </c>
    </row>
    <row r="101" spans="1:6" ht="30" hidden="1" x14ac:dyDescent="0.25">
      <c r="A101" s="3" t="s">
        <v>456</v>
      </c>
      <c r="B101" s="3" t="s">
        <v>2</v>
      </c>
      <c r="C101" s="3" t="s">
        <v>59</v>
      </c>
      <c r="D101" s="3" t="s">
        <v>459</v>
      </c>
      <c r="E101" s="3" t="str">
        <f t="shared" si="7"/>
        <v>MTMS3ARequirement SpecificationGeneral Requirements View</v>
      </c>
      <c r="F101" s="3" t="s">
        <v>188</v>
      </c>
    </row>
    <row r="102" spans="1:6" hidden="1" x14ac:dyDescent="0.25">
      <c r="A102" s="3" t="s">
        <v>456</v>
      </c>
      <c r="B102" s="3" t="s">
        <v>2</v>
      </c>
      <c r="C102" s="3" t="s">
        <v>460</v>
      </c>
      <c r="D102" s="18" t="s">
        <v>461</v>
      </c>
      <c r="E102" s="3" t="str">
        <f t="shared" si="7"/>
        <v>MTMS3ARequirement SpecificationClassic Check</v>
      </c>
      <c r="F102" s="3" t="s">
        <v>462</v>
      </c>
    </row>
    <row r="103" spans="1:6" ht="30" hidden="1" x14ac:dyDescent="0.25">
      <c r="A103" s="3" t="s">
        <v>880</v>
      </c>
      <c r="B103" s="3" t="s">
        <v>2</v>
      </c>
      <c r="C103" s="3" t="s">
        <v>59</v>
      </c>
      <c r="D103" s="14" t="s">
        <v>882</v>
      </c>
      <c r="E103" s="3" t="str">
        <f t="shared" si="7"/>
        <v>NELRequirement SpecificationGeneral Requirements View</v>
      </c>
      <c r="F103" s="3" t="s">
        <v>189</v>
      </c>
    </row>
    <row r="104" spans="1:6" hidden="1" x14ac:dyDescent="0.25">
      <c r="A104" s="3" t="s">
        <v>1146</v>
      </c>
      <c r="B104" s="3" t="s">
        <v>29</v>
      </c>
      <c r="C104" s="3" t="s">
        <v>59</v>
      </c>
      <c r="D104" s="14" t="s">
        <v>1148</v>
      </c>
      <c r="E104" s="3" t="str">
        <f t="shared" si="7"/>
        <v>PLR2RATMGeneral Requirements View</v>
      </c>
      <c r="F104" s="3" t="s">
        <v>188</v>
      </c>
    </row>
    <row r="105" spans="1:6" hidden="1" x14ac:dyDescent="0.25">
      <c r="A105" s="3" t="s">
        <v>1146</v>
      </c>
      <c r="B105" s="3" t="s">
        <v>7</v>
      </c>
      <c r="C105" s="3" t="s">
        <v>1219</v>
      </c>
      <c r="D105" s="14" t="s">
        <v>1220</v>
      </c>
      <c r="E105" s="3" t="str">
        <f t="shared" si="7"/>
        <v>PLR2RVTMVerification and Validation</v>
      </c>
      <c r="F105" s="3" t="s">
        <v>494</v>
      </c>
    </row>
    <row r="106" spans="1:6" hidden="1" x14ac:dyDescent="0.25">
      <c r="A106" s="3" t="s">
        <v>1146</v>
      </c>
      <c r="B106" s="3" t="s">
        <v>1216</v>
      </c>
      <c r="C106" s="3" t="s">
        <v>1217</v>
      </c>
      <c r="D106" s="14" t="s">
        <v>1218</v>
      </c>
      <c r="E106" s="3" t="str">
        <f t="shared" si="7"/>
        <v>PLR2Process RVTMProcess Verification</v>
      </c>
      <c r="F106" s="3" t="s">
        <v>800</v>
      </c>
    </row>
    <row r="107" spans="1:6" hidden="1" x14ac:dyDescent="0.25">
      <c r="A107" s="3" t="s">
        <v>1146</v>
      </c>
      <c r="B107" s="3" t="s">
        <v>9</v>
      </c>
      <c r="C107" s="3" t="s">
        <v>9</v>
      </c>
      <c r="D107" s="14" t="s">
        <v>1230</v>
      </c>
      <c r="E107" s="3" t="str">
        <f t="shared" si="7"/>
        <v>PLR2Controls RegisterControls Register</v>
      </c>
      <c r="F107" s="3" t="s">
        <v>1227</v>
      </c>
    </row>
    <row r="108" spans="1:6" hidden="1" x14ac:dyDescent="0.25">
      <c r="A108" s="3" t="s">
        <v>1146</v>
      </c>
      <c r="B108" s="3" t="s">
        <v>339</v>
      </c>
      <c r="C108" s="3" t="s">
        <v>339</v>
      </c>
      <c r="D108" s="14" t="s">
        <v>1229</v>
      </c>
      <c r="E108" s="3" t="str">
        <f t="shared" si="7"/>
        <v>PLR2ADC RegisterADC Register</v>
      </c>
      <c r="F108" s="3" t="s">
        <v>1228</v>
      </c>
    </row>
    <row r="109" spans="1:6" hidden="1" x14ac:dyDescent="0.25">
      <c r="A109" s="3" t="s">
        <v>698</v>
      </c>
      <c r="B109" s="3" t="s">
        <v>809</v>
      </c>
      <c r="C109" s="3" t="s">
        <v>702</v>
      </c>
      <c r="D109" s="18" t="s">
        <v>810</v>
      </c>
      <c r="E109" s="3" t="str">
        <f t="shared" si="7"/>
        <v>QTMPQTMP-ModuleVerification Actions View</v>
      </c>
      <c r="F109" s="3" t="s">
        <v>703</v>
      </c>
    </row>
    <row r="110" spans="1:6" hidden="1" x14ac:dyDescent="0.25">
      <c r="A110" s="3" t="s">
        <v>698</v>
      </c>
      <c r="B110" s="3" t="s">
        <v>809</v>
      </c>
      <c r="C110" s="3" t="s">
        <v>811</v>
      </c>
      <c r="D110" s="18" t="s">
        <v>812</v>
      </c>
      <c r="E110" s="3" t="str">
        <f t="shared" si="7"/>
        <v>QTMPQTMP-ModuleMFG Faciltiy Spec TMB</v>
      </c>
      <c r="F110" s="3" t="s">
        <v>725</v>
      </c>
    </row>
    <row r="111" spans="1:6" ht="30" hidden="1" x14ac:dyDescent="0.25">
      <c r="A111" s="3" t="s">
        <v>478</v>
      </c>
      <c r="B111" s="3" t="s">
        <v>2</v>
      </c>
      <c r="C111" s="15" t="s">
        <v>59</v>
      </c>
      <c r="D111" s="15" t="s">
        <v>481</v>
      </c>
      <c r="E111" s="3" t="str">
        <f t="shared" si="7"/>
        <v>SHVNPHRequirement SpecificationGeneral Requirements View</v>
      </c>
      <c r="F111" s="15" t="s">
        <v>188</v>
      </c>
    </row>
    <row r="112" spans="1:6" ht="30" hidden="1" x14ac:dyDescent="0.25">
      <c r="A112" s="3" t="s">
        <v>846</v>
      </c>
      <c r="B112" s="15" t="s">
        <v>836</v>
      </c>
      <c r="C112" s="15" t="s">
        <v>848</v>
      </c>
      <c r="D112" s="15" t="s">
        <v>847</v>
      </c>
      <c r="E112" s="3" t="str">
        <f t="shared" si="7"/>
        <v>SRLGnone30 - All Contractor Requirement</v>
      </c>
      <c r="F112" s="3" t="str">
        <f>C112</f>
        <v>30 - All Contractor Requirement</v>
      </c>
    </row>
    <row r="113" spans="1:6" hidden="1" x14ac:dyDescent="0.25">
      <c r="A113" s="3" t="s">
        <v>846</v>
      </c>
      <c r="B113" s="3" t="s">
        <v>29</v>
      </c>
      <c r="C113" s="3" t="s">
        <v>353</v>
      </c>
      <c r="D113" s="15" t="s">
        <v>876</v>
      </c>
      <c r="E113" s="3" t="str">
        <f t="shared" si="7"/>
        <v>SRLGRATMRATM(Tender)</v>
      </c>
      <c r="F113" s="3" t="str">
        <f>C113</f>
        <v>RATM(Tender)</v>
      </c>
    </row>
    <row r="114" spans="1:6" hidden="1" x14ac:dyDescent="0.25">
      <c r="A114" s="3" t="s">
        <v>1141</v>
      </c>
      <c r="B114" s="3" t="s">
        <v>29</v>
      </c>
      <c r="C114" s="3" t="s">
        <v>59</v>
      </c>
      <c r="D114" s="14" t="s">
        <v>1144</v>
      </c>
      <c r="E114" s="3" t="str">
        <f t="shared" ref="E114" si="8">A114&amp;B114&amp;C114</f>
        <v>T2DRATMGeneral Requirements View</v>
      </c>
      <c r="F114" s="3" t="s">
        <v>188</v>
      </c>
    </row>
    <row r="115" spans="1:6" hidden="1" x14ac:dyDescent="0.25">
      <c r="A115" s="1" t="s">
        <v>1421</v>
      </c>
    </row>
    <row r="116" spans="1:6" hidden="1" x14ac:dyDescent="0.25">
      <c r="A116" s="3" t="s">
        <v>1299</v>
      </c>
      <c r="B116" s="3" t="s">
        <v>259</v>
      </c>
      <c r="C116" s="3" t="s">
        <v>59</v>
      </c>
      <c r="D116" s="14" t="s">
        <v>1305</v>
      </c>
      <c r="E116" s="3" t="s">
        <v>1397</v>
      </c>
      <c r="F116" s="3" t="str">
        <f>C116</f>
        <v>General Requirements View</v>
      </c>
    </row>
    <row r="117" spans="1:6" hidden="1" x14ac:dyDescent="0.25">
      <c r="A117" s="3" t="s">
        <v>1299</v>
      </c>
      <c r="B117" s="3" t="s">
        <v>1189</v>
      </c>
      <c r="C117" s="3" t="s">
        <v>60</v>
      </c>
      <c r="D117" s="14" t="s">
        <v>1320</v>
      </c>
      <c r="E117" s="3" t="s">
        <v>1398</v>
      </c>
      <c r="F117" s="3" t="str">
        <f>C117</f>
        <v>01 Verification-Design</v>
      </c>
    </row>
    <row r="118" spans="1:6" hidden="1" x14ac:dyDescent="0.25">
      <c r="A118" s="3" t="s">
        <v>1299</v>
      </c>
      <c r="B118" s="3" t="s">
        <v>1175</v>
      </c>
      <c r="C118" s="3" t="s">
        <v>259</v>
      </c>
      <c r="D118" s="14" t="s">
        <v>1340</v>
      </c>
      <c r="E118" s="3" t="s">
        <v>1399</v>
      </c>
      <c r="F118" s="3" t="s">
        <v>1341</v>
      </c>
    </row>
    <row r="119" spans="1:6" hidden="1" x14ac:dyDescent="0.25">
      <c r="A119" s="3" t="s">
        <v>1299</v>
      </c>
      <c r="B119" s="3" t="s">
        <v>259</v>
      </c>
      <c r="C119" s="3" t="s">
        <v>259</v>
      </c>
      <c r="D119" s="14" t="s">
        <v>1339</v>
      </c>
      <c r="E119" s="3" t="s">
        <v>1400</v>
      </c>
      <c r="F119" s="3" t="s">
        <v>1342</v>
      </c>
    </row>
    <row r="120" spans="1:6" hidden="1" x14ac:dyDescent="0.25">
      <c r="A120" s="3" t="s">
        <v>1299</v>
      </c>
      <c r="B120" s="3" t="s">
        <v>1189</v>
      </c>
      <c r="C120" s="3" t="s">
        <v>1189</v>
      </c>
      <c r="D120" s="14" t="s">
        <v>1321</v>
      </c>
      <c r="E120" s="3" t="s">
        <v>1401</v>
      </c>
      <c r="F120" s="3" t="str">
        <f>C120</f>
        <v>VCRM</v>
      </c>
    </row>
    <row r="121" spans="1:6" hidden="1" x14ac:dyDescent="0.25">
      <c r="A121" s="20" t="s">
        <v>541</v>
      </c>
      <c r="B121" s="20" t="s">
        <v>836</v>
      </c>
      <c r="C121" s="20" t="s">
        <v>470</v>
      </c>
      <c r="D121" s="20"/>
      <c r="E121" s="20" t="str">
        <f>A121&amp;B121&amp;C121</f>
        <v>PSTRnoneVCRM Project Requirements</v>
      </c>
      <c r="F121" s="20" t="s">
        <v>470</v>
      </c>
    </row>
    <row r="122" spans="1:6" hidden="1" x14ac:dyDescent="0.25">
      <c r="A122" s="20" t="s">
        <v>541</v>
      </c>
      <c r="B122" s="20" t="s">
        <v>836</v>
      </c>
      <c r="C122" s="20" t="s">
        <v>471</v>
      </c>
      <c r="D122" s="20"/>
      <c r="E122" s="20" t="str">
        <f>A122&amp;B122&amp;C122</f>
        <v>PSTRnoneVCRM System Requirements</v>
      </c>
      <c r="F122" s="20" t="s">
        <v>471</v>
      </c>
    </row>
    <row r="123" spans="1:6" ht="30" hidden="1" x14ac:dyDescent="0.25">
      <c r="A123" s="20" t="s">
        <v>541</v>
      </c>
      <c r="B123" s="20" t="s">
        <v>538</v>
      </c>
      <c r="C123" s="20" t="s">
        <v>745</v>
      </c>
      <c r="D123" s="20" t="s">
        <v>744</v>
      </c>
      <c r="E123" s="20" t="str">
        <f>A123&amp;B123&amp;C123</f>
        <v>PSTRPSTR DocumentPSTR Requirements Traceability View</v>
      </c>
      <c r="F123" s="20" t="s">
        <v>746</v>
      </c>
    </row>
    <row r="124" spans="1:6" ht="30" hidden="1" x14ac:dyDescent="0.25">
      <c r="A124" s="20" t="s">
        <v>380</v>
      </c>
      <c r="B124" s="20" t="s">
        <v>448</v>
      </c>
      <c r="C124" s="20" t="s">
        <v>406</v>
      </c>
      <c r="D124" s="19" t="s">
        <v>647</v>
      </c>
      <c r="E124" s="20" t="str">
        <f>A124&amp;B124&amp;C124</f>
        <v>RSAADD (Application Design Document)REI-SR</v>
      </c>
      <c r="F124" s="20" t="s">
        <v>453</v>
      </c>
    </row>
    <row r="125" spans="1:6" ht="30" hidden="1" x14ac:dyDescent="0.25">
      <c r="A125" s="20" t="s">
        <v>380</v>
      </c>
      <c r="B125" s="20" t="s">
        <v>836</v>
      </c>
      <c r="C125" s="20" t="s">
        <v>896</v>
      </c>
      <c r="D125" s="20" t="s">
        <v>898</v>
      </c>
      <c r="E125" s="20" t="str">
        <f t="shared" ref="E125:E126" si="9">A125&amp;B125&amp;C125</f>
        <v>RSAnoneREI-VCRM Project Requirements</v>
      </c>
      <c r="F125" s="20" t="str">
        <f>C125</f>
        <v>REI-VCRM Project Requirements</v>
      </c>
    </row>
    <row r="126" spans="1:6" ht="30" hidden="1" x14ac:dyDescent="0.25">
      <c r="A126" s="20" t="s">
        <v>380</v>
      </c>
      <c r="B126" s="20" t="s">
        <v>836</v>
      </c>
      <c r="C126" s="20" t="s">
        <v>897</v>
      </c>
      <c r="D126" s="20" t="s">
        <v>899</v>
      </c>
      <c r="E126" s="20" t="str">
        <f t="shared" si="9"/>
        <v>RSAnoneREI-VCRM System Requirements</v>
      </c>
      <c r="F126" s="20" t="str">
        <f>C126</f>
        <v>REI-VCRM System Requirements</v>
      </c>
    </row>
    <row r="127" spans="1:6" ht="30" hidden="1" x14ac:dyDescent="0.25">
      <c r="A127" s="20" t="s">
        <v>380</v>
      </c>
      <c r="B127" s="20" t="s">
        <v>836</v>
      </c>
      <c r="C127" s="20" t="s">
        <v>896</v>
      </c>
      <c r="D127" s="20" t="s">
        <v>898</v>
      </c>
      <c r="E127" s="20" t="str">
        <f t="shared" ref="E127:E144" si="10">A127&amp;B127&amp;C127</f>
        <v>RSAnoneREI-VCRM Project Requirements</v>
      </c>
      <c r="F127" s="20" t="s">
        <v>470</v>
      </c>
    </row>
    <row r="128" spans="1:6" ht="30" hidden="1" x14ac:dyDescent="0.25">
      <c r="A128" s="20" t="s">
        <v>380</v>
      </c>
      <c r="B128" s="20" t="s">
        <v>836</v>
      </c>
      <c r="C128" s="20" t="s">
        <v>897</v>
      </c>
      <c r="D128" s="20" t="s">
        <v>899</v>
      </c>
      <c r="E128" s="20" t="str">
        <f t="shared" si="10"/>
        <v>RSAnoneREI-VCRM System Requirements</v>
      </c>
      <c r="F128" s="20" t="s">
        <v>471</v>
      </c>
    </row>
    <row r="129" spans="1:6" hidden="1" x14ac:dyDescent="0.25">
      <c r="A129" s="20" t="s">
        <v>380</v>
      </c>
      <c r="B129" s="20" t="s">
        <v>836</v>
      </c>
      <c r="C129" s="20" t="s">
        <v>892</v>
      </c>
      <c r="D129" s="19" t="s">
        <v>893</v>
      </c>
      <c r="E129" s="20" t="str">
        <f t="shared" si="10"/>
        <v>RSAnoneREI-Validation Actions</v>
      </c>
      <c r="F129" s="20" t="str">
        <f>C129</f>
        <v>REI-Validation Actions</v>
      </c>
    </row>
    <row r="130" spans="1:6" hidden="1" x14ac:dyDescent="0.25">
      <c r="A130" s="20" t="s">
        <v>380</v>
      </c>
      <c r="B130" s="20" t="s">
        <v>541</v>
      </c>
      <c r="C130" s="20" t="s">
        <v>741</v>
      </c>
      <c r="D130" s="20" t="s">
        <v>742</v>
      </c>
      <c r="E130" s="20" t="str">
        <f t="shared" si="10"/>
        <v>RSAPSTRREI-PSTR</v>
      </c>
      <c r="F130" s="20" t="s">
        <v>741</v>
      </c>
    </row>
    <row r="131" spans="1:6" hidden="1" x14ac:dyDescent="0.25">
      <c r="A131" s="20" t="s">
        <v>380</v>
      </c>
      <c r="B131" s="20" t="s">
        <v>446</v>
      </c>
      <c r="C131" s="20" t="s">
        <v>406</v>
      </c>
      <c r="D131" s="19" t="s">
        <v>647</v>
      </c>
      <c r="E131" s="20" t="str">
        <f t="shared" si="10"/>
        <v>RSARSA Interface Control DocumentREI-SR</v>
      </c>
      <c r="F131" s="20" t="s">
        <v>473</v>
      </c>
    </row>
    <row r="132" spans="1:6" hidden="1" x14ac:dyDescent="0.25">
      <c r="A132" s="20" t="s">
        <v>380</v>
      </c>
      <c r="B132" s="20" t="s">
        <v>445</v>
      </c>
      <c r="C132" s="20" t="s">
        <v>405</v>
      </c>
      <c r="D132" s="19" t="s">
        <v>646</v>
      </c>
      <c r="E132" s="20" t="str">
        <f t="shared" si="10"/>
        <v>RSARSA OCDREI-PR</v>
      </c>
      <c r="F132" s="20" t="s">
        <v>507</v>
      </c>
    </row>
    <row r="133" spans="1:6" ht="30" hidden="1" x14ac:dyDescent="0.25">
      <c r="A133" s="20" t="s">
        <v>380</v>
      </c>
      <c r="B133" s="20" t="s">
        <v>382</v>
      </c>
      <c r="C133" s="20" t="s">
        <v>405</v>
      </c>
      <c r="D133" s="19" t="s">
        <v>646</v>
      </c>
      <c r="E133" s="20" t="str">
        <f t="shared" si="10"/>
        <v>RSARSA Project Requirements DocumentREI-PR</v>
      </c>
      <c r="F133" s="20" t="s">
        <v>451</v>
      </c>
    </row>
    <row r="134" spans="1:6" hidden="1" x14ac:dyDescent="0.25">
      <c r="A134" s="20" t="s">
        <v>380</v>
      </c>
      <c r="B134" s="20" t="s">
        <v>444</v>
      </c>
      <c r="C134" s="20" t="s">
        <v>405</v>
      </c>
      <c r="D134" s="19" t="s">
        <v>646</v>
      </c>
      <c r="E134" s="20" t="str">
        <f t="shared" si="10"/>
        <v>RSARSA Requirements DocumentREI-PR</v>
      </c>
      <c r="F134" s="20" t="s">
        <v>455</v>
      </c>
    </row>
    <row r="135" spans="1:6" hidden="1" x14ac:dyDescent="0.25">
      <c r="A135" s="20" t="s">
        <v>380</v>
      </c>
      <c r="B135" s="20" t="s">
        <v>444</v>
      </c>
      <c r="C135" s="20" t="s">
        <v>406</v>
      </c>
      <c r="D135" s="45" t="s">
        <v>647</v>
      </c>
      <c r="E135" s="20" t="str">
        <f t="shared" si="10"/>
        <v>RSARSA Requirements DocumentREI-SR</v>
      </c>
      <c r="F135" s="20" t="s">
        <v>463</v>
      </c>
    </row>
    <row r="136" spans="1:6" ht="30" hidden="1" x14ac:dyDescent="0.25">
      <c r="A136" s="20" t="s">
        <v>380</v>
      </c>
      <c r="B136" s="20" t="s">
        <v>383</v>
      </c>
      <c r="C136" s="20" t="s">
        <v>406</v>
      </c>
      <c r="D136" s="45" t="s">
        <v>647</v>
      </c>
      <c r="E136" s="20" t="str">
        <f t="shared" si="10"/>
        <v>RSARSA System Requirements DocumentREI-SR</v>
      </c>
      <c r="F136" s="20" t="s">
        <v>472</v>
      </c>
    </row>
    <row r="137" spans="1:6" hidden="1" x14ac:dyDescent="0.25">
      <c r="A137" s="20" t="s">
        <v>380</v>
      </c>
      <c r="B137" s="20" t="s">
        <v>447</v>
      </c>
      <c r="C137" s="43" t="s">
        <v>405</v>
      </c>
      <c r="D137" s="45" t="s">
        <v>646</v>
      </c>
      <c r="E137" s="20" t="str">
        <f t="shared" si="10"/>
        <v>RSASDD (System Design Document)REI-PR</v>
      </c>
      <c r="F137" s="20" t="s">
        <v>452</v>
      </c>
    </row>
    <row r="138" spans="1:6" hidden="1" x14ac:dyDescent="0.25">
      <c r="A138" s="20" t="s">
        <v>380</v>
      </c>
      <c r="B138" s="20" t="s">
        <v>433</v>
      </c>
      <c r="C138" s="20" t="s">
        <v>315</v>
      </c>
      <c r="D138" s="45" t="s">
        <v>454</v>
      </c>
      <c r="E138" s="20" t="str">
        <f t="shared" si="10"/>
        <v>RSAValidation_Actionsn/a</v>
      </c>
      <c r="F138" s="20" t="s">
        <v>433</v>
      </c>
    </row>
    <row r="139" spans="1:6" hidden="1" x14ac:dyDescent="0.25">
      <c r="A139" s="20" t="s">
        <v>380</v>
      </c>
      <c r="B139" s="20" t="s">
        <v>432</v>
      </c>
      <c r="C139" s="43" t="s">
        <v>315</v>
      </c>
      <c r="D139" s="45" t="s">
        <v>454</v>
      </c>
      <c r="E139" s="43" t="str">
        <f t="shared" si="10"/>
        <v>RSAVerification_Actionsn/a</v>
      </c>
      <c r="F139" s="20" t="s">
        <v>432</v>
      </c>
    </row>
    <row r="140" spans="1:6" hidden="1" x14ac:dyDescent="0.25">
      <c r="A140" s="3" t="s">
        <v>1173</v>
      </c>
      <c r="B140" s="3" t="s">
        <v>259</v>
      </c>
      <c r="C140" s="3" t="s">
        <v>59</v>
      </c>
      <c r="D140" s="14" t="s">
        <v>1211</v>
      </c>
      <c r="E140" s="3" t="str">
        <f t="shared" si="10"/>
        <v>B2A-IRPLSRAATMGeneral Requirements View</v>
      </c>
      <c r="F140" s="3" t="str">
        <f>C140</f>
        <v>General Requirements View</v>
      </c>
    </row>
    <row r="141" spans="1:6" hidden="1" x14ac:dyDescent="0.25">
      <c r="A141" s="3" t="s">
        <v>1173</v>
      </c>
      <c r="B141" s="3" t="s">
        <v>1189</v>
      </c>
      <c r="C141" s="3" t="s">
        <v>60</v>
      </c>
      <c r="D141" s="14" t="s">
        <v>1212</v>
      </c>
      <c r="E141" s="3" t="str">
        <f t="shared" si="10"/>
        <v>B2A-IRPLSVCRM01 Verification-Design</v>
      </c>
      <c r="F141" s="3" t="str">
        <f t="shared" ref="F141:F143" si="11">C141</f>
        <v>01 Verification-Design</v>
      </c>
    </row>
    <row r="142" spans="1:6" hidden="1" x14ac:dyDescent="0.25">
      <c r="A142" s="3" t="s">
        <v>1173</v>
      </c>
      <c r="B142" s="3" t="s">
        <v>259</v>
      </c>
      <c r="C142" s="3" t="s">
        <v>1182</v>
      </c>
      <c r="D142" s="14" t="s">
        <v>1181</v>
      </c>
      <c r="E142" s="3" t="str">
        <f t="shared" si="10"/>
        <v>B2A-IRPLSRAATMSSRS Export</v>
      </c>
      <c r="F142" s="3" t="str">
        <f t="shared" si="11"/>
        <v>SSRS Export</v>
      </c>
    </row>
    <row r="143" spans="1:6" hidden="1" x14ac:dyDescent="0.25">
      <c r="A143" s="3" t="s">
        <v>1173</v>
      </c>
      <c r="B143" s="3" t="s">
        <v>1189</v>
      </c>
      <c r="C143" s="3" t="s">
        <v>422</v>
      </c>
      <c r="D143" s="14" t="s">
        <v>1180</v>
      </c>
      <c r="E143" s="3" t="str">
        <f t="shared" si="10"/>
        <v>B2A-IRPLSVCRMVerification</v>
      </c>
      <c r="F143" s="3" t="str">
        <f t="shared" si="11"/>
        <v>Verification</v>
      </c>
    </row>
    <row r="144" spans="1:6" hidden="1" x14ac:dyDescent="0.25">
      <c r="A144" s="3" t="s">
        <v>1173</v>
      </c>
      <c r="B144" s="3" t="s">
        <v>1175</v>
      </c>
      <c r="C144" s="3" t="s">
        <v>1177</v>
      </c>
      <c r="D144" s="14" t="s">
        <v>1187</v>
      </c>
      <c r="E144" s="3" t="str">
        <f t="shared" si="10"/>
        <v>B2A-IRPLSRequirements SpecificationExport PSR</v>
      </c>
      <c r="F144" s="3" t="str">
        <f>C144</f>
        <v>Export PSR</v>
      </c>
    </row>
  </sheetData>
  <autoFilter ref="A1:F144" xr:uid="{CB5C192E-C715-4EB1-955C-E8DBE3607755}">
    <filterColumn colId="0">
      <filters>
        <filter val="I2S-IRPL"/>
      </filters>
    </filterColumn>
  </autoFilter>
  <sortState xmlns:xlrd2="http://schemas.microsoft.com/office/spreadsheetml/2017/richdata2" ref="A4:F113">
    <sortCondition ref="A4:A113"/>
    <sortCondition ref="B4:B113"/>
  </sortState>
  <hyperlinks>
    <hyperlink ref="D72" r:id="rId1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3FF80FE3-9233-44E0-A766-BEB38AD70AED}"/>
    <hyperlink ref="D71" r:id="rId2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D7A0667B-BC70-459A-91B3-025A13C743AE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53DF-EF43-4D38-B320-B1C57FF51901}">
  <sheetPr codeName="Sheet1"/>
  <dimension ref="A1:D144"/>
  <sheetViews>
    <sheetView zoomScale="145" zoomScaleNormal="145" workbookViewId="0">
      <selection activeCell="B89" sqref="B89"/>
    </sheetView>
  </sheetViews>
  <sheetFormatPr defaultRowHeight="15" x14ac:dyDescent="0.25"/>
  <cols>
    <col min="1" max="1" width="10.5703125" bestFit="1" customWidth="1"/>
    <col min="2" max="2" width="44" bestFit="1" customWidth="1"/>
    <col min="3" max="3" width="31.28515625" bestFit="1" customWidth="1"/>
    <col min="4" max="4" width="35.85546875" customWidth="1"/>
  </cols>
  <sheetData>
    <row r="1" spans="1:4" x14ac:dyDescent="0.25">
      <c r="A1" s="17" t="s">
        <v>1</v>
      </c>
      <c r="B1" s="17" t="s">
        <v>477</v>
      </c>
      <c r="C1" s="17" t="s">
        <v>0</v>
      </c>
      <c r="D1" s="17" t="s">
        <v>655</v>
      </c>
    </row>
    <row r="2" spans="1:4" ht="15.75" x14ac:dyDescent="0.3">
      <c r="A2" s="3" t="s">
        <v>1079</v>
      </c>
      <c r="B2" s="18" t="s">
        <v>469</v>
      </c>
      <c r="C2" s="21"/>
    </row>
    <row r="3" spans="1:4" ht="15.75" x14ac:dyDescent="0.3">
      <c r="A3" s="3" t="s">
        <v>1079</v>
      </c>
      <c r="B3" s="18" t="s">
        <v>1360</v>
      </c>
      <c r="C3" s="21" t="s">
        <v>1361</v>
      </c>
    </row>
    <row r="4" spans="1:4" ht="15.75" x14ac:dyDescent="0.3">
      <c r="A4" s="3" t="s">
        <v>1079</v>
      </c>
      <c r="B4" s="18" t="s">
        <v>1263</v>
      </c>
      <c r="C4" s="21" t="s">
        <v>1264</v>
      </c>
    </row>
    <row r="5" spans="1:4" ht="15.75" x14ac:dyDescent="0.3">
      <c r="A5" s="3" t="s">
        <v>651</v>
      </c>
      <c r="B5" s="18" t="s">
        <v>469</v>
      </c>
      <c r="C5" s="21"/>
      <c r="D5" s="18" t="s">
        <v>656</v>
      </c>
    </row>
    <row r="6" spans="1:4" ht="15.75" x14ac:dyDescent="0.3">
      <c r="A6" s="3" t="s">
        <v>435</v>
      </c>
      <c r="B6" s="18" t="s">
        <v>469</v>
      </c>
      <c r="C6" s="21"/>
    </row>
    <row r="7" spans="1:4" ht="15.75" x14ac:dyDescent="0.3">
      <c r="A7" s="3" t="s">
        <v>435</v>
      </c>
      <c r="B7" s="18" t="s">
        <v>482</v>
      </c>
      <c r="C7" s="21" t="s">
        <v>483</v>
      </c>
    </row>
    <row r="8" spans="1:4" ht="15.75" x14ac:dyDescent="0.3">
      <c r="A8" s="3" t="s">
        <v>1042</v>
      </c>
      <c r="B8" s="18" t="s">
        <v>469</v>
      </c>
      <c r="C8" s="21"/>
    </row>
    <row r="9" spans="1:4" ht="15.75" x14ac:dyDescent="0.3">
      <c r="A9" s="3" t="s">
        <v>1042</v>
      </c>
      <c r="B9" s="18" t="s">
        <v>1053</v>
      </c>
      <c r="C9" s="21" t="s">
        <v>1054</v>
      </c>
    </row>
    <row r="10" spans="1:4" ht="15.75" x14ac:dyDescent="0.3">
      <c r="A10" s="3" t="s">
        <v>340</v>
      </c>
      <c r="B10" s="18" t="s">
        <v>469</v>
      </c>
      <c r="C10" s="21"/>
      <c r="D10" t="s">
        <v>690</v>
      </c>
    </row>
    <row r="11" spans="1:4" ht="15.75" x14ac:dyDescent="0.3">
      <c r="A11" s="3" t="s">
        <v>340</v>
      </c>
      <c r="B11" s="18" t="s">
        <v>1414</v>
      </c>
      <c r="C11" s="21" t="s">
        <v>1413</v>
      </c>
    </row>
    <row r="12" spans="1:4" ht="15.75" x14ac:dyDescent="0.3">
      <c r="A12" s="3" t="s">
        <v>340</v>
      </c>
      <c r="B12" s="18" t="s">
        <v>1280</v>
      </c>
      <c r="C12" s="21" t="s">
        <v>1298</v>
      </c>
    </row>
    <row r="13" spans="1:4" ht="15.75" x14ac:dyDescent="0.3">
      <c r="A13" s="3" t="s">
        <v>340</v>
      </c>
      <c r="B13" s="18" t="s">
        <v>1279</v>
      </c>
      <c r="C13" s="21" t="s">
        <v>1297</v>
      </c>
    </row>
    <row r="14" spans="1:4" ht="15.75" x14ac:dyDescent="0.3">
      <c r="A14" s="3" t="s">
        <v>340</v>
      </c>
      <c r="B14" s="18" t="s">
        <v>1278</v>
      </c>
      <c r="C14" s="21" t="s">
        <v>1296</v>
      </c>
    </row>
    <row r="15" spans="1:4" ht="15.75" x14ac:dyDescent="0.3">
      <c r="A15" s="3" t="s">
        <v>340</v>
      </c>
      <c r="B15" s="18" t="s">
        <v>1277</v>
      </c>
      <c r="C15" s="21" t="s">
        <v>1295</v>
      </c>
    </row>
    <row r="16" spans="1:4" ht="15.75" x14ac:dyDescent="0.3">
      <c r="A16" s="3" t="s">
        <v>340</v>
      </c>
      <c r="B16" s="18" t="s">
        <v>1276</v>
      </c>
      <c r="C16" s="21" t="s">
        <v>1294</v>
      </c>
    </row>
    <row r="17" spans="1:3" ht="15.75" x14ac:dyDescent="0.3">
      <c r="A17" s="3" t="s">
        <v>340</v>
      </c>
      <c r="B17" s="18" t="s">
        <v>1275</v>
      </c>
      <c r="C17" s="21" t="s">
        <v>1293</v>
      </c>
    </row>
    <row r="18" spans="1:3" ht="15.75" x14ac:dyDescent="0.3">
      <c r="A18" s="3" t="s">
        <v>340</v>
      </c>
      <c r="B18" s="18" t="s">
        <v>1274</v>
      </c>
      <c r="C18" s="21" t="s">
        <v>1292</v>
      </c>
    </row>
    <row r="19" spans="1:3" ht="15.75" x14ac:dyDescent="0.3">
      <c r="A19" s="3" t="s">
        <v>340</v>
      </c>
      <c r="B19" s="18" t="s">
        <v>1273</v>
      </c>
      <c r="C19" s="21" t="s">
        <v>1291</v>
      </c>
    </row>
    <row r="20" spans="1:3" ht="15.75" x14ac:dyDescent="0.3">
      <c r="A20" s="3" t="s">
        <v>340</v>
      </c>
      <c r="B20" s="18" t="s">
        <v>1271</v>
      </c>
      <c r="C20" s="21" t="s">
        <v>1290</v>
      </c>
    </row>
    <row r="21" spans="1:3" ht="15.75" x14ac:dyDescent="0.3">
      <c r="A21" s="3" t="s">
        <v>340</v>
      </c>
      <c r="B21" s="18" t="s">
        <v>1272</v>
      </c>
      <c r="C21" s="21" t="s">
        <v>1289</v>
      </c>
    </row>
    <row r="22" spans="1:3" ht="15.75" x14ac:dyDescent="0.3">
      <c r="A22" s="3" t="s">
        <v>340</v>
      </c>
      <c r="B22" s="18" t="s">
        <v>1281</v>
      </c>
      <c r="C22" s="21" t="s">
        <v>1288</v>
      </c>
    </row>
    <row r="23" spans="1:3" ht="15.75" x14ac:dyDescent="0.3">
      <c r="A23" s="3" t="s">
        <v>340</v>
      </c>
      <c r="B23" s="18" t="s">
        <v>1270</v>
      </c>
      <c r="C23" s="21" t="s">
        <v>1287</v>
      </c>
    </row>
    <row r="24" spans="1:3" ht="15.75" x14ac:dyDescent="0.3">
      <c r="A24" s="3" t="s">
        <v>340</v>
      </c>
      <c r="B24" s="18" t="s">
        <v>1269</v>
      </c>
      <c r="C24" s="21" t="s">
        <v>1286</v>
      </c>
    </row>
    <row r="25" spans="1:3" ht="15.75" x14ac:dyDescent="0.3">
      <c r="A25" s="3" t="s">
        <v>340</v>
      </c>
      <c r="B25" s="18" t="s">
        <v>1268</v>
      </c>
      <c r="C25" s="21" t="s">
        <v>1285</v>
      </c>
    </row>
    <row r="26" spans="1:3" ht="15.75" x14ac:dyDescent="0.3">
      <c r="A26" s="3" t="s">
        <v>340</v>
      </c>
      <c r="B26" s="18" t="s">
        <v>1267</v>
      </c>
      <c r="C26" s="21" t="s">
        <v>1284</v>
      </c>
    </row>
    <row r="27" spans="1:3" ht="15.75" x14ac:dyDescent="0.3">
      <c r="A27" s="3" t="s">
        <v>340</v>
      </c>
      <c r="B27" s="18" t="s">
        <v>1266</v>
      </c>
      <c r="C27" s="21" t="s">
        <v>1283</v>
      </c>
    </row>
    <row r="28" spans="1:3" ht="15.75" x14ac:dyDescent="0.3">
      <c r="A28" s="3" t="s">
        <v>340</v>
      </c>
      <c r="B28" s="18" t="s">
        <v>1265</v>
      </c>
      <c r="C28" s="21" t="s">
        <v>1282</v>
      </c>
    </row>
    <row r="29" spans="1:3" ht="15.75" x14ac:dyDescent="0.3">
      <c r="A29" s="3" t="s">
        <v>340</v>
      </c>
      <c r="B29" s="18" t="s">
        <v>1109</v>
      </c>
      <c r="C29" s="21" t="s">
        <v>1110</v>
      </c>
    </row>
    <row r="30" spans="1:3" ht="15.75" x14ac:dyDescent="0.3">
      <c r="A30" s="3" t="s">
        <v>340</v>
      </c>
      <c r="B30" s="18" t="s">
        <v>1108</v>
      </c>
      <c r="C30" s="21" t="s">
        <v>1111</v>
      </c>
    </row>
    <row r="31" spans="1:3" ht="15.75" x14ac:dyDescent="0.3">
      <c r="A31" s="3" t="s">
        <v>340</v>
      </c>
      <c r="B31" s="18" t="s">
        <v>1107</v>
      </c>
      <c r="C31" s="21" t="s">
        <v>1112</v>
      </c>
    </row>
    <row r="32" spans="1:3" ht="15.75" x14ac:dyDescent="0.3">
      <c r="A32" s="3" t="s">
        <v>340</v>
      </c>
      <c r="B32" s="18" t="s">
        <v>1106</v>
      </c>
      <c r="C32" s="21" t="s">
        <v>1113</v>
      </c>
    </row>
    <row r="33" spans="1:3" ht="15.75" x14ac:dyDescent="0.3">
      <c r="A33" s="3" t="s">
        <v>340</v>
      </c>
      <c r="B33" s="18" t="s">
        <v>1105</v>
      </c>
      <c r="C33" s="21" t="s">
        <v>1114</v>
      </c>
    </row>
    <row r="34" spans="1:3" ht="15.75" x14ac:dyDescent="0.3">
      <c r="A34" s="3" t="s">
        <v>340</v>
      </c>
      <c r="B34" s="18" t="s">
        <v>1104</v>
      </c>
      <c r="C34" s="21" t="s">
        <v>1115</v>
      </c>
    </row>
    <row r="35" spans="1:3" ht="15.75" x14ac:dyDescent="0.3">
      <c r="A35" s="3" t="s">
        <v>340</v>
      </c>
      <c r="B35" s="18" t="s">
        <v>1103</v>
      </c>
      <c r="C35" s="21" t="s">
        <v>1116</v>
      </c>
    </row>
    <row r="36" spans="1:3" ht="15.75" x14ac:dyDescent="0.3">
      <c r="A36" s="3" t="s">
        <v>340</v>
      </c>
      <c r="B36" s="18" t="s">
        <v>1102</v>
      </c>
      <c r="C36" s="21" t="s">
        <v>1117</v>
      </c>
    </row>
    <row r="37" spans="1:3" ht="15.75" x14ac:dyDescent="0.3">
      <c r="A37" s="3" t="s">
        <v>340</v>
      </c>
      <c r="B37" s="18" t="s">
        <v>1101</v>
      </c>
      <c r="C37" s="21" t="s">
        <v>1118</v>
      </c>
    </row>
    <row r="38" spans="1:3" ht="15.75" x14ac:dyDescent="0.3">
      <c r="A38" s="3" t="s">
        <v>340</v>
      </c>
      <c r="B38" s="18" t="s">
        <v>1065</v>
      </c>
      <c r="C38" s="21" t="s">
        <v>1066</v>
      </c>
    </row>
    <row r="39" spans="1:3" ht="15.75" x14ac:dyDescent="0.3">
      <c r="A39" s="3" t="s">
        <v>340</v>
      </c>
      <c r="B39" s="18" t="s">
        <v>1100</v>
      </c>
      <c r="C39" s="21" t="s">
        <v>1119</v>
      </c>
    </row>
    <row r="40" spans="1:3" ht="15.75" x14ac:dyDescent="0.3">
      <c r="A40" s="3" t="s">
        <v>340</v>
      </c>
      <c r="B40" s="18" t="s">
        <v>1099</v>
      </c>
      <c r="C40" s="21" t="s">
        <v>1120</v>
      </c>
    </row>
    <row r="41" spans="1:3" ht="15.75" x14ac:dyDescent="0.3">
      <c r="A41" s="3" t="s">
        <v>340</v>
      </c>
      <c r="B41" s="18" t="s">
        <v>1098</v>
      </c>
      <c r="C41" s="21" t="s">
        <v>1121</v>
      </c>
    </row>
    <row r="42" spans="1:3" ht="15.75" x14ac:dyDescent="0.3">
      <c r="A42" s="3" t="s">
        <v>340</v>
      </c>
      <c r="B42" s="18" t="s">
        <v>1097</v>
      </c>
      <c r="C42" s="21" t="s">
        <v>1122</v>
      </c>
    </row>
    <row r="43" spans="1:3" ht="15.75" x14ac:dyDescent="0.3">
      <c r="A43" s="3" t="s">
        <v>340</v>
      </c>
      <c r="B43" s="18" t="s">
        <v>1096</v>
      </c>
      <c r="C43" s="21" t="s">
        <v>1123</v>
      </c>
    </row>
    <row r="44" spans="1:3" ht="15.75" x14ac:dyDescent="0.3">
      <c r="A44" s="3" t="s">
        <v>340</v>
      </c>
      <c r="B44" s="18" t="s">
        <v>1095</v>
      </c>
      <c r="C44" s="21" t="s">
        <v>1124</v>
      </c>
    </row>
    <row r="45" spans="1:3" ht="15.75" x14ac:dyDescent="0.3">
      <c r="A45" s="3" t="s">
        <v>340</v>
      </c>
      <c r="B45" s="18" t="s">
        <v>1094</v>
      </c>
      <c r="C45" s="21" t="s">
        <v>1125</v>
      </c>
    </row>
    <row r="46" spans="1:3" ht="15.75" x14ac:dyDescent="0.3">
      <c r="A46" s="3" t="s">
        <v>340</v>
      </c>
      <c r="B46" s="18" t="s">
        <v>1130</v>
      </c>
      <c r="C46" s="21" t="s">
        <v>1131</v>
      </c>
    </row>
    <row r="47" spans="1:3" ht="15.75" x14ac:dyDescent="0.3">
      <c r="A47" s="3" t="s">
        <v>340</v>
      </c>
      <c r="B47" s="18" t="s">
        <v>1093</v>
      </c>
      <c r="C47" s="21" t="s">
        <v>1126</v>
      </c>
    </row>
    <row r="48" spans="1:3" ht="15.75" x14ac:dyDescent="0.3">
      <c r="A48" s="3" t="s">
        <v>340</v>
      </c>
      <c r="B48" s="18" t="s">
        <v>1092</v>
      </c>
      <c r="C48" s="21" t="s">
        <v>1127</v>
      </c>
    </row>
    <row r="49" spans="1:3" ht="15.75" x14ac:dyDescent="0.3">
      <c r="A49" s="3" t="s">
        <v>340</v>
      </c>
      <c r="B49" s="18" t="s">
        <v>1091</v>
      </c>
      <c r="C49" s="21" t="s">
        <v>1128</v>
      </c>
    </row>
    <row r="50" spans="1:3" ht="15.75" x14ac:dyDescent="0.3">
      <c r="A50" s="3" t="s">
        <v>340</v>
      </c>
      <c r="B50" s="18" t="s">
        <v>1090</v>
      </c>
      <c r="C50" s="21" t="s">
        <v>1129</v>
      </c>
    </row>
    <row r="51" spans="1:3" ht="15.75" x14ac:dyDescent="0.3">
      <c r="A51" s="3" t="s">
        <v>340</v>
      </c>
      <c r="B51" s="18" t="s">
        <v>1009</v>
      </c>
      <c r="C51" s="21" t="s">
        <v>1010</v>
      </c>
    </row>
    <row r="52" spans="1:3" ht="15.75" x14ac:dyDescent="0.3">
      <c r="A52" s="3" t="s">
        <v>340</v>
      </c>
      <c r="B52" s="18" t="s">
        <v>1030</v>
      </c>
      <c r="C52" s="21" t="s">
        <v>1029</v>
      </c>
    </row>
    <row r="53" spans="1:3" ht="15.75" x14ac:dyDescent="0.3">
      <c r="A53" s="3" t="s">
        <v>340</v>
      </c>
      <c r="B53" s="18" t="s">
        <v>953</v>
      </c>
      <c r="C53" s="21" t="s">
        <v>954</v>
      </c>
    </row>
    <row r="54" spans="1:3" ht="15.75" x14ac:dyDescent="0.3">
      <c r="A54" s="3" t="s">
        <v>340</v>
      </c>
      <c r="B54" s="18" t="s">
        <v>952</v>
      </c>
      <c r="C54" s="21" t="s">
        <v>955</v>
      </c>
    </row>
    <row r="55" spans="1:3" ht="15.75" x14ac:dyDescent="0.3">
      <c r="A55" s="3" t="s">
        <v>340</v>
      </c>
      <c r="B55" s="18" t="s">
        <v>951</v>
      </c>
      <c r="C55" s="21" t="s">
        <v>956</v>
      </c>
    </row>
    <row r="56" spans="1:3" ht="15.75" x14ac:dyDescent="0.3">
      <c r="A56" s="3" t="s">
        <v>340</v>
      </c>
      <c r="B56" s="18" t="s">
        <v>950</v>
      </c>
      <c r="C56" s="21" t="s">
        <v>957</v>
      </c>
    </row>
    <row r="57" spans="1:3" ht="15.75" x14ac:dyDescent="0.3">
      <c r="A57" s="3" t="s">
        <v>340</v>
      </c>
      <c r="B57" s="18" t="s">
        <v>949</v>
      </c>
      <c r="C57" s="21" t="s">
        <v>958</v>
      </c>
    </row>
    <row r="58" spans="1:3" ht="15.75" x14ac:dyDescent="0.3">
      <c r="A58" s="3" t="s">
        <v>340</v>
      </c>
      <c r="B58" s="18" t="s">
        <v>948</v>
      </c>
      <c r="C58" s="21" t="s">
        <v>959</v>
      </c>
    </row>
    <row r="59" spans="1:3" ht="15.75" x14ac:dyDescent="0.3">
      <c r="A59" s="3" t="s">
        <v>340</v>
      </c>
      <c r="B59" s="18" t="s">
        <v>947</v>
      </c>
      <c r="C59" s="21" t="s">
        <v>960</v>
      </c>
    </row>
    <row r="60" spans="1:3" ht="15.75" x14ac:dyDescent="0.3">
      <c r="A60" s="3" t="s">
        <v>340</v>
      </c>
      <c r="B60" s="18" t="s">
        <v>944</v>
      </c>
      <c r="C60" s="21" t="s">
        <v>943</v>
      </c>
    </row>
    <row r="61" spans="1:3" ht="15.75" x14ac:dyDescent="0.3">
      <c r="A61" s="3" t="s">
        <v>340</v>
      </c>
      <c r="B61" s="18" t="s">
        <v>940</v>
      </c>
      <c r="C61" s="21" t="s">
        <v>939</v>
      </c>
    </row>
    <row r="62" spans="1:3" ht="15.75" x14ac:dyDescent="0.3">
      <c r="A62" s="3" t="s">
        <v>340</v>
      </c>
      <c r="B62" s="18" t="s">
        <v>938</v>
      </c>
      <c r="C62" s="21" t="s">
        <v>937</v>
      </c>
    </row>
    <row r="63" spans="1:3" ht="15.75" x14ac:dyDescent="0.3">
      <c r="A63" s="3" t="s">
        <v>340</v>
      </c>
      <c r="B63" s="18" t="s">
        <v>932</v>
      </c>
      <c r="C63" s="21" t="s">
        <v>931</v>
      </c>
    </row>
    <row r="64" spans="1:3" ht="15.75" x14ac:dyDescent="0.3">
      <c r="A64" s="3" t="s">
        <v>340</v>
      </c>
      <c r="B64" s="18" t="s">
        <v>933</v>
      </c>
      <c r="C64" s="21" t="s">
        <v>934</v>
      </c>
    </row>
    <row r="65" spans="1:3" ht="15.75" x14ac:dyDescent="0.3">
      <c r="A65" s="3" t="s">
        <v>340</v>
      </c>
      <c r="B65" s="18" t="s">
        <v>936</v>
      </c>
      <c r="C65" s="21" t="s">
        <v>935</v>
      </c>
    </row>
    <row r="66" spans="1:3" ht="15.75" x14ac:dyDescent="0.3">
      <c r="A66" s="3" t="s">
        <v>340</v>
      </c>
      <c r="B66" s="18" t="s">
        <v>922</v>
      </c>
      <c r="C66" s="21" t="s">
        <v>923</v>
      </c>
    </row>
    <row r="67" spans="1:3" ht="15.75" x14ac:dyDescent="0.3">
      <c r="A67" s="3" t="s">
        <v>340</v>
      </c>
      <c r="B67" s="18" t="s">
        <v>920</v>
      </c>
      <c r="C67" s="21" t="s">
        <v>921</v>
      </c>
    </row>
    <row r="68" spans="1:3" ht="15.75" x14ac:dyDescent="0.3">
      <c r="A68" s="3" t="s">
        <v>340</v>
      </c>
      <c r="B68" s="18" t="s">
        <v>919</v>
      </c>
      <c r="C68" s="21" t="s">
        <v>918</v>
      </c>
    </row>
    <row r="69" spans="1:3" ht="15.75" x14ac:dyDescent="0.3">
      <c r="A69" s="3" t="s">
        <v>340</v>
      </c>
      <c r="B69" s="18" t="s">
        <v>889</v>
      </c>
      <c r="C69" s="21" t="s">
        <v>888</v>
      </c>
    </row>
    <row r="70" spans="1:3" ht="15.75" x14ac:dyDescent="0.3">
      <c r="A70" s="3" t="s">
        <v>340</v>
      </c>
      <c r="B70" s="18" t="s">
        <v>891</v>
      </c>
      <c r="C70" s="21" t="s">
        <v>890</v>
      </c>
    </row>
    <row r="71" spans="1:3" ht="15.75" x14ac:dyDescent="0.3">
      <c r="A71" s="3" t="s">
        <v>340</v>
      </c>
      <c r="B71" s="18" t="s">
        <v>834</v>
      </c>
      <c r="C71" s="21" t="s">
        <v>833</v>
      </c>
    </row>
    <row r="72" spans="1:3" ht="15.75" x14ac:dyDescent="0.3">
      <c r="A72" s="3" t="s">
        <v>340</v>
      </c>
      <c r="B72" s="18" t="s">
        <v>832</v>
      </c>
      <c r="C72" s="21" t="s">
        <v>831</v>
      </c>
    </row>
    <row r="73" spans="1:3" ht="15.75" x14ac:dyDescent="0.3">
      <c r="A73" s="3" t="s">
        <v>340</v>
      </c>
      <c r="B73" s="18" t="s">
        <v>829</v>
      </c>
      <c r="C73" s="21" t="s">
        <v>827</v>
      </c>
    </row>
    <row r="74" spans="1:3" ht="15.75" x14ac:dyDescent="0.3">
      <c r="A74" s="3" t="s">
        <v>340</v>
      </c>
      <c r="B74" s="18" t="s">
        <v>828</v>
      </c>
      <c r="C74" s="21" t="s">
        <v>830</v>
      </c>
    </row>
    <row r="75" spans="1:3" ht="15.75" x14ac:dyDescent="0.3">
      <c r="A75" s="3" t="s">
        <v>340</v>
      </c>
      <c r="B75" s="18" t="s">
        <v>824</v>
      </c>
      <c r="C75" s="21" t="s">
        <v>825</v>
      </c>
    </row>
    <row r="76" spans="1:3" ht="15.75" x14ac:dyDescent="0.3">
      <c r="A76" s="3" t="s">
        <v>340</v>
      </c>
      <c r="B76" s="18" t="s">
        <v>823</v>
      </c>
      <c r="C76" s="21" t="s">
        <v>826</v>
      </c>
    </row>
    <row r="77" spans="1:3" ht="15.75" x14ac:dyDescent="0.3">
      <c r="A77" s="3" t="s">
        <v>340</v>
      </c>
      <c r="B77" s="18" t="s">
        <v>822</v>
      </c>
      <c r="C77" s="21" t="s">
        <v>821</v>
      </c>
    </row>
    <row r="78" spans="1:3" ht="15.75" x14ac:dyDescent="0.3">
      <c r="A78" s="3" t="s">
        <v>340</v>
      </c>
      <c r="B78" s="18" t="s">
        <v>814</v>
      </c>
      <c r="C78" s="21" t="s">
        <v>813</v>
      </c>
    </row>
    <row r="79" spans="1:3" ht="15.75" x14ac:dyDescent="0.3">
      <c r="A79" s="3" t="s">
        <v>340</v>
      </c>
      <c r="B79" s="18" t="s">
        <v>817</v>
      </c>
      <c r="C79" s="21" t="s">
        <v>818</v>
      </c>
    </row>
    <row r="80" spans="1:3" ht="15.75" x14ac:dyDescent="0.3">
      <c r="A80" s="3" t="s">
        <v>340</v>
      </c>
      <c r="B80" s="18" t="s">
        <v>820</v>
      </c>
      <c r="C80" s="21" t="s">
        <v>819</v>
      </c>
    </row>
    <row r="81" spans="1:4" ht="15.75" x14ac:dyDescent="0.3">
      <c r="A81" s="3" t="s">
        <v>340</v>
      </c>
      <c r="B81" s="18" t="s">
        <v>755</v>
      </c>
      <c r="C81" s="21" t="s">
        <v>756</v>
      </c>
    </row>
    <row r="82" spans="1:4" ht="15.75" x14ac:dyDescent="0.3">
      <c r="A82" s="3" t="s">
        <v>763</v>
      </c>
      <c r="B82" s="18" t="s">
        <v>469</v>
      </c>
      <c r="C82" s="21"/>
      <c r="D82" t="s">
        <v>765</v>
      </c>
    </row>
    <row r="83" spans="1:4" ht="15.75" x14ac:dyDescent="0.3">
      <c r="A83" s="3" t="s">
        <v>11</v>
      </c>
      <c r="B83" s="18" t="s">
        <v>469</v>
      </c>
      <c r="C83" s="21"/>
      <c r="D83" t="s">
        <v>697</v>
      </c>
    </row>
    <row r="84" spans="1:4" ht="15.75" x14ac:dyDescent="0.3">
      <c r="A84" s="3" t="s">
        <v>11</v>
      </c>
      <c r="B84" s="18" t="s">
        <v>975</v>
      </c>
      <c r="C84" s="21" t="s">
        <v>974</v>
      </c>
    </row>
    <row r="85" spans="1:4" ht="15.75" x14ac:dyDescent="0.3">
      <c r="A85" s="3" t="s">
        <v>375</v>
      </c>
      <c r="B85" s="18" t="s">
        <v>469</v>
      </c>
      <c r="C85" s="21"/>
    </row>
    <row r="86" spans="1:4" ht="15.75" x14ac:dyDescent="0.3">
      <c r="A86" s="3" t="s">
        <v>402</v>
      </c>
      <c r="B86" s="18" t="s">
        <v>469</v>
      </c>
      <c r="C86" s="21"/>
    </row>
    <row r="87" spans="1:4" ht="15.75" x14ac:dyDescent="0.3">
      <c r="A87" s="3" t="s">
        <v>884</v>
      </c>
      <c r="B87" s="18" t="s">
        <v>469</v>
      </c>
      <c r="C87" s="21"/>
    </row>
    <row r="88" spans="1:4" ht="15.75" x14ac:dyDescent="0.3">
      <c r="A88" s="3" t="s">
        <v>1318</v>
      </c>
      <c r="B88" s="18" t="s">
        <v>469</v>
      </c>
      <c r="C88" s="21"/>
    </row>
    <row r="89" spans="1:4" ht="15.75" x14ac:dyDescent="0.3">
      <c r="A89" s="3" t="s">
        <v>1318</v>
      </c>
      <c r="B89" s="18" t="s">
        <v>1450</v>
      </c>
      <c r="C89" s="21" t="s">
        <v>1449</v>
      </c>
    </row>
    <row r="90" spans="1:4" ht="15.75" x14ac:dyDescent="0.3">
      <c r="A90" s="3" t="s">
        <v>600</v>
      </c>
      <c r="B90" s="18" t="s">
        <v>469</v>
      </c>
      <c r="C90" s="21"/>
      <c r="D90" t="s">
        <v>1362</v>
      </c>
    </row>
    <row r="91" spans="1:4" ht="15.75" x14ac:dyDescent="0.3">
      <c r="A91" s="3" t="s">
        <v>600</v>
      </c>
      <c r="B91" s="18" t="s">
        <v>1418</v>
      </c>
      <c r="C91" s="21" t="s">
        <v>1417</v>
      </c>
    </row>
    <row r="92" spans="1:4" ht="15.75" x14ac:dyDescent="0.3">
      <c r="A92" s="3" t="s">
        <v>600</v>
      </c>
      <c r="B92" s="18" t="s">
        <v>1404</v>
      </c>
      <c r="C92" s="21" t="s">
        <v>1403</v>
      </c>
    </row>
    <row r="93" spans="1:4" ht="15.75" x14ac:dyDescent="0.3">
      <c r="A93" s="3" t="s">
        <v>600</v>
      </c>
      <c r="B93" s="18" t="s">
        <v>1377</v>
      </c>
      <c r="C93" s="21" t="s">
        <v>1378</v>
      </c>
    </row>
    <row r="94" spans="1:4" ht="15.75" x14ac:dyDescent="0.3">
      <c r="A94" s="3" t="s">
        <v>600</v>
      </c>
      <c r="B94" s="18" t="s">
        <v>1379</v>
      </c>
      <c r="C94" s="21" t="s">
        <v>1380</v>
      </c>
    </row>
    <row r="95" spans="1:4" ht="15.75" x14ac:dyDescent="0.3">
      <c r="A95" s="3" t="s">
        <v>600</v>
      </c>
      <c r="B95" s="18" t="s">
        <v>1416</v>
      </c>
      <c r="C95" s="21" t="s">
        <v>1415</v>
      </c>
    </row>
    <row r="96" spans="1:4" ht="15.75" x14ac:dyDescent="0.3">
      <c r="A96" s="3" t="s">
        <v>600</v>
      </c>
      <c r="B96" s="18" t="s">
        <v>1381</v>
      </c>
      <c r="C96" s="21" t="s">
        <v>1382</v>
      </c>
    </row>
    <row r="97" spans="1:3" ht="15.75" x14ac:dyDescent="0.3">
      <c r="A97" s="3" t="s">
        <v>600</v>
      </c>
      <c r="B97" s="18" t="s">
        <v>1383</v>
      </c>
      <c r="C97" s="21" t="s">
        <v>1384</v>
      </c>
    </row>
    <row r="98" spans="1:3" ht="15.75" x14ac:dyDescent="0.3">
      <c r="A98" s="3" t="s">
        <v>600</v>
      </c>
      <c r="B98" s="18" t="s">
        <v>1385</v>
      </c>
      <c r="C98" s="21" t="s">
        <v>1386</v>
      </c>
    </row>
    <row r="99" spans="1:3" ht="15.75" x14ac:dyDescent="0.3">
      <c r="A99" s="3" t="s">
        <v>600</v>
      </c>
      <c r="B99" s="18" t="s">
        <v>1363</v>
      </c>
      <c r="C99" s="21" t="s">
        <v>1364</v>
      </c>
    </row>
    <row r="100" spans="1:3" ht="15.75" x14ac:dyDescent="0.3">
      <c r="A100" s="3" t="s">
        <v>600</v>
      </c>
      <c r="B100" s="18" t="s">
        <v>1327</v>
      </c>
      <c r="C100" s="21" t="s">
        <v>1326</v>
      </c>
    </row>
    <row r="101" spans="1:3" ht="15.75" x14ac:dyDescent="0.3">
      <c r="A101" s="3" t="s">
        <v>600</v>
      </c>
      <c r="B101" s="18" t="s">
        <v>1325</v>
      </c>
      <c r="C101" s="21" t="s">
        <v>1324</v>
      </c>
    </row>
    <row r="102" spans="1:3" ht="15.75" x14ac:dyDescent="0.3">
      <c r="A102" s="3" t="s">
        <v>600</v>
      </c>
      <c r="B102" s="18" t="s">
        <v>1322</v>
      </c>
      <c r="C102" s="86" t="s">
        <v>1323</v>
      </c>
    </row>
    <row r="103" spans="1:3" ht="15.75" x14ac:dyDescent="0.3">
      <c r="A103" s="3" t="s">
        <v>600</v>
      </c>
      <c r="B103" s="18" t="s">
        <v>1387</v>
      </c>
      <c r="C103" s="86" t="s">
        <v>1388</v>
      </c>
    </row>
    <row r="104" spans="1:3" ht="15.75" x14ac:dyDescent="0.3">
      <c r="A104" s="3" t="s">
        <v>600</v>
      </c>
      <c r="B104" s="18" t="s">
        <v>1038</v>
      </c>
      <c r="C104" s="21" t="s">
        <v>1039</v>
      </c>
    </row>
    <row r="105" spans="1:3" ht="15.75" x14ac:dyDescent="0.3">
      <c r="A105" s="3" t="s">
        <v>600</v>
      </c>
      <c r="B105" s="18" t="s">
        <v>1040</v>
      </c>
      <c r="C105" s="21" t="s">
        <v>1041</v>
      </c>
    </row>
    <row r="106" spans="1:3" ht="15.75" x14ac:dyDescent="0.3">
      <c r="A106" s="3" t="s">
        <v>600</v>
      </c>
      <c r="B106" s="18" t="s">
        <v>695</v>
      </c>
      <c r="C106" s="21" t="s">
        <v>696</v>
      </c>
    </row>
    <row r="107" spans="1:3" ht="15.75" x14ac:dyDescent="0.3">
      <c r="A107" s="3" t="s">
        <v>924</v>
      </c>
      <c r="B107" s="18" t="s">
        <v>469</v>
      </c>
      <c r="C107" s="21"/>
    </row>
    <row r="108" spans="1:3" ht="15.75" x14ac:dyDescent="0.3">
      <c r="A108" s="3" t="s">
        <v>427</v>
      </c>
      <c r="B108" s="18" t="s">
        <v>469</v>
      </c>
      <c r="C108" s="21"/>
    </row>
    <row r="109" spans="1:3" ht="15.75" x14ac:dyDescent="0.3">
      <c r="A109" s="3" t="s">
        <v>14</v>
      </c>
      <c r="B109" s="18" t="s">
        <v>469</v>
      </c>
      <c r="C109" s="21"/>
    </row>
    <row r="110" spans="1:3" ht="15.75" x14ac:dyDescent="0.3">
      <c r="A110" s="3" t="s">
        <v>13</v>
      </c>
      <c r="B110" s="18" t="s">
        <v>469</v>
      </c>
      <c r="C110" s="21"/>
    </row>
    <row r="111" spans="1:3" ht="15.75" x14ac:dyDescent="0.3">
      <c r="A111" s="3" t="s">
        <v>456</v>
      </c>
      <c r="B111" s="18" t="s">
        <v>469</v>
      </c>
      <c r="C111" s="21"/>
    </row>
    <row r="112" spans="1:3" ht="15.75" x14ac:dyDescent="0.3">
      <c r="A112" s="3" t="s">
        <v>1146</v>
      </c>
      <c r="B112" s="18" t="s">
        <v>469</v>
      </c>
      <c r="C112" s="21"/>
    </row>
    <row r="113" spans="1:3" ht="15.75" x14ac:dyDescent="0.3">
      <c r="A113" s="3" t="s">
        <v>1146</v>
      </c>
      <c r="B113" s="18" t="s">
        <v>1150</v>
      </c>
      <c r="C113" s="21" t="s">
        <v>1149</v>
      </c>
    </row>
    <row r="114" spans="1:3" ht="15.75" x14ac:dyDescent="0.3">
      <c r="A114" s="3" t="s">
        <v>380</v>
      </c>
      <c r="B114" s="18" t="s">
        <v>469</v>
      </c>
      <c r="C114" s="21"/>
    </row>
    <row r="115" spans="1:3" ht="15.75" x14ac:dyDescent="0.3">
      <c r="A115" s="3" t="s">
        <v>380</v>
      </c>
      <c r="B115" s="18" t="s">
        <v>941</v>
      </c>
      <c r="C115" s="21" t="s">
        <v>942</v>
      </c>
    </row>
    <row r="116" spans="1:3" ht="15.75" x14ac:dyDescent="0.3">
      <c r="A116" s="3" t="s">
        <v>380</v>
      </c>
      <c r="B116" s="18" t="s">
        <v>895</v>
      </c>
      <c r="C116" s="21" t="s">
        <v>894</v>
      </c>
    </row>
    <row r="117" spans="1:3" ht="15.75" x14ac:dyDescent="0.3">
      <c r="A117" s="3" t="s">
        <v>380</v>
      </c>
      <c r="B117" s="18" t="s">
        <v>816</v>
      </c>
      <c r="C117" s="21" t="s">
        <v>815</v>
      </c>
    </row>
    <row r="118" spans="1:3" ht="15.75" x14ac:dyDescent="0.3">
      <c r="A118" s="3" t="s">
        <v>380</v>
      </c>
      <c r="B118" s="18" t="s">
        <v>688</v>
      </c>
      <c r="C118" s="21" t="s">
        <v>689</v>
      </c>
    </row>
    <row r="119" spans="1:3" ht="15.75" x14ac:dyDescent="0.3">
      <c r="A119" s="3" t="s">
        <v>380</v>
      </c>
      <c r="B119" s="18" t="s">
        <v>659</v>
      </c>
      <c r="C119" s="21" t="s">
        <v>660</v>
      </c>
    </row>
    <row r="120" spans="1:3" ht="15.75" x14ac:dyDescent="0.3">
      <c r="A120" s="3" t="s">
        <v>380</v>
      </c>
      <c r="B120" s="18" t="s">
        <v>657</v>
      </c>
      <c r="C120" s="21" t="s">
        <v>658</v>
      </c>
    </row>
    <row r="121" spans="1:3" ht="15.75" x14ac:dyDescent="0.3">
      <c r="A121" s="3" t="s">
        <v>380</v>
      </c>
      <c r="B121" s="18" t="s">
        <v>648</v>
      </c>
      <c r="C121" s="21" t="s">
        <v>649</v>
      </c>
    </row>
    <row r="122" spans="1:3" ht="15.75" x14ac:dyDescent="0.3">
      <c r="A122" s="3" t="s">
        <v>380</v>
      </c>
      <c r="B122" s="18" t="s">
        <v>637</v>
      </c>
      <c r="C122" s="21" t="s">
        <v>638</v>
      </c>
    </row>
    <row r="123" spans="1:3" ht="15.75" x14ac:dyDescent="0.3">
      <c r="A123" s="3" t="s">
        <v>380</v>
      </c>
      <c r="B123" s="18" t="s">
        <v>639</v>
      </c>
      <c r="C123" s="21" t="s">
        <v>640</v>
      </c>
    </row>
    <row r="124" spans="1:3" ht="15.75" x14ac:dyDescent="0.3">
      <c r="A124" s="3" t="s">
        <v>380</v>
      </c>
      <c r="B124" s="18" t="s">
        <v>641</v>
      </c>
      <c r="C124" s="21" t="s">
        <v>642</v>
      </c>
    </row>
    <row r="125" spans="1:3" ht="15.75" x14ac:dyDescent="0.3">
      <c r="A125" s="3" t="s">
        <v>380</v>
      </c>
      <c r="B125" s="18" t="s">
        <v>608</v>
      </c>
      <c r="C125" s="21" t="s">
        <v>609</v>
      </c>
    </row>
    <row r="126" spans="1:3" ht="15.75" x14ac:dyDescent="0.3">
      <c r="A126" s="3" t="s">
        <v>380</v>
      </c>
      <c r="B126" s="18" t="s">
        <v>602</v>
      </c>
      <c r="C126" s="21" t="s">
        <v>603</v>
      </c>
    </row>
    <row r="127" spans="1:3" ht="15.75" x14ac:dyDescent="0.3">
      <c r="A127" s="3" t="s">
        <v>380</v>
      </c>
      <c r="B127" s="18" t="s">
        <v>522</v>
      </c>
      <c r="C127" s="21" t="s">
        <v>521</v>
      </c>
    </row>
    <row r="128" spans="1:3" ht="15.75" x14ac:dyDescent="0.3">
      <c r="A128" s="3" t="s">
        <v>380</v>
      </c>
      <c r="B128" s="18" t="s">
        <v>516</v>
      </c>
      <c r="C128" s="21" t="s">
        <v>517</v>
      </c>
    </row>
    <row r="129" spans="1:4" ht="15.75" x14ac:dyDescent="0.3">
      <c r="A129" s="3" t="s">
        <v>380</v>
      </c>
      <c r="B129" s="18" t="s">
        <v>506</v>
      </c>
      <c r="C129" s="21" t="s">
        <v>505</v>
      </c>
    </row>
    <row r="130" spans="1:4" ht="15.75" x14ac:dyDescent="0.3">
      <c r="A130" s="3" t="s">
        <v>380</v>
      </c>
      <c r="B130" s="18" t="s">
        <v>484</v>
      </c>
      <c r="C130" s="21" t="s">
        <v>468</v>
      </c>
    </row>
    <row r="131" spans="1:4" ht="15.75" x14ac:dyDescent="0.3">
      <c r="A131" s="3" t="s">
        <v>380</v>
      </c>
      <c r="B131" s="18" t="s">
        <v>802</v>
      </c>
      <c r="C131" s="21" t="s">
        <v>803</v>
      </c>
    </row>
    <row r="132" spans="1:4" ht="15.75" x14ac:dyDescent="0.3">
      <c r="A132" s="3" t="s">
        <v>380</v>
      </c>
      <c r="B132" s="18" t="s">
        <v>804</v>
      </c>
      <c r="C132" s="21" t="s">
        <v>805</v>
      </c>
    </row>
    <row r="133" spans="1:4" ht="15.75" x14ac:dyDescent="0.3">
      <c r="A133" s="3" t="s">
        <v>380</v>
      </c>
      <c r="B133" s="18" t="s">
        <v>807</v>
      </c>
      <c r="C133" s="21" t="s">
        <v>808</v>
      </c>
    </row>
    <row r="134" spans="1:4" ht="15.75" x14ac:dyDescent="0.3">
      <c r="A134" s="3" t="s">
        <v>541</v>
      </c>
      <c r="B134" s="18" t="s">
        <v>469</v>
      </c>
      <c r="C134" s="21"/>
    </row>
    <row r="135" spans="1:4" ht="15.75" x14ac:dyDescent="0.3">
      <c r="A135" s="3" t="s">
        <v>478</v>
      </c>
      <c r="B135" s="18" t="s">
        <v>469</v>
      </c>
      <c r="C135" s="21"/>
    </row>
    <row r="136" spans="1:4" ht="15.75" x14ac:dyDescent="0.3">
      <c r="A136" s="3" t="s">
        <v>523</v>
      </c>
      <c r="B136" s="18" t="s">
        <v>469</v>
      </c>
      <c r="C136" s="21"/>
    </row>
    <row r="137" spans="1:4" ht="15.75" x14ac:dyDescent="0.3">
      <c r="A137" s="3" t="s">
        <v>535</v>
      </c>
      <c r="B137" s="18" t="s">
        <v>469</v>
      </c>
      <c r="C137" s="21"/>
    </row>
    <row r="138" spans="1:4" ht="15.75" x14ac:dyDescent="0.3">
      <c r="A138" s="3" t="s">
        <v>604</v>
      </c>
      <c r="B138" s="18" t="s">
        <v>469</v>
      </c>
      <c r="C138" s="21"/>
    </row>
    <row r="139" spans="1:4" ht="15.75" x14ac:dyDescent="0.3">
      <c r="A139" s="3" t="s">
        <v>604</v>
      </c>
      <c r="B139" s="18" t="s">
        <v>817</v>
      </c>
      <c r="C139" s="21" t="s">
        <v>870</v>
      </c>
    </row>
    <row r="140" spans="1:4" ht="15.75" x14ac:dyDescent="0.3">
      <c r="A140" s="3" t="s">
        <v>604</v>
      </c>
      <c r="B140" s="18" t="s">
        <v>869</v>
      </c>
      <c r="C140" s="21" t="s">
        <v>868</v>
      </c>
    </row>
    <row r="141" spans="1:4" ht="15.75" x14ac:dyDescent="0.3">
      <c r="A141" s="3" t="s">
        <v>600</v>
      </c>
      <c r="B141" s="18" t="s">
        <v>469</v>
      </c>
      <c r="C141" s="21"/>
    </row>
    <row r="142" spans="1:4" ht="15.75" x14ac:dyDescent="0.3">
      <c r="A142" s="3" t="s">
        <v>600</v>
      </c>
      <c r="B142" s="18" t="s">
        <v>695</v>
      </c>
      <c r="C142" s="21" t="s">
        <v>696</v>
      </c>
    </row>
    <row r="143" spans="1:4" ht="15.75" x14ac:dyDescent="0.3">
      <c r="A143" s="3" t="s">
        <v>698</v>
      </c>
      <c r="B143" s="18" t="s">
        <v>469</v>
      </c>
      <c r="C143" s="21"/>
      <c r="D143" t="s">
        <v>726</v>
      </c>
    </row>
    <row r="144" spans="1:4" ht="15.75" x14ac:dyDescent="0.3">
      <c r="A144" s="3" t="s">
        <v>1141</v>
      </c>
      <c r="B144" s="18" t="s">
        <v>469</v>
      </c>
      <c r="C144" s="21"/>
      <c r="D144" s="1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18D3-764C-4E9B-98FC-5A9D45D86BE2}">
  <sheetPr codeName="Sheet6"/>
  <dimension ref="A1:B8"/>
  <sheetViews>
    <sheetView zoomScale="190" zoomScaleNormal="190" workbookViewId="0">
      <selection activeCell="E10" sqref="E10"/>
    </sheetView>
  </sheetViews>
  <sheetFormatPr defaultRowHeight="15" x14ac:dyDescent="0.25"/>
  <cols>
    <col min="1" max="1" width="13.85546875" customWidth="1"/>
    <col min="2" max="2" width="30.42578125" customWidth="1"/>
    <col min="4" max="4" width="30.42578125" customWidth="1"/>
  </cols>
  <sheetData>
    <row r="1" spans="1:2" ht="30" x14ac:dyDescent="0.25">
      <c r="A1" s="4" t="s">
        <v>63</v>
      </c>
      <c r="B1" s="3" t="s">
        <v>69</v>
      </c>
    </row>
    <row r="2" spans="1:2" ht="30" x14ac:dyDescent="0.25">
      <c r="A2" s="4" t="s">
        <v>64</v>
      </c>
      <c r="B2" s="3" t="s">
        <v>69</v>
      </c>
    </row>
    <row r="3" spans="1:2" ht="30" x14ac:dyDescent="0.25">
      <c r="A3" s="4" t="s">
        <v>654</v>
      </c>
      <c r="B3" s="3" t="s">
        <v>970</v>
      </c>
    </row>
    <row r="4" spans="1:2" x14ac:dyDescent="0.25">
      <c r="A4" s="4" t="s">
        <v>65</v>
      </c>
      <c r="B4" s="3" t="s">
        <v>70</v>
      </c>
    </row>
    <row r="5" spans="1:2" x14ac:dyDescent="0.25">
      <c r="A5" s="4" t="s">
        <v>66</v>
      </c>
      <c r="B5" s="3" t="s">
        <v>70</v>
      </c>
    </row>
    <row r="6" spans="1:2" ht="45" x14ac:dyDescent="0.25">
      <c r="A6" s="4" t="s">
        <v>341</v>
      </c>
      <c r="B6" s="3" t="s">
        <v>342</v>
      </c>
    </row>
    <row r="7" spans="1:2" ht="30" x14ac:dyDescent="0.25">
      <c r="A7" s="4" t="s">
        <v>67</v>
      </c>
      <c r="B7" s="3" t="s">
        <v>69</v>
      </c>
    </row>
    <row r="8" spans="1:2" ht="30" x14ac:dyDescent="0.25">
      <c r="A8" s="4" t="s">
        <v>181</v>
      </c>
      <c r="B8" s="3" t="s">
        <v>258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1A0D-6576-401A-BA67-39CE50C93FCD}">
  <sheetPr codeName="Sheet3"/>
  <dimension ref="A1:E9"/>
  <sheetViews>
    <sheetView workbookViewId="0"/>
  </sheetViews>
  <sheetFormatPr defaultRowHeight="15" x14ac:dyDescent="0.25"/>
  <cols>
    <col min="2" max="2" width="14" customWidth="1"/>
  </cols>
  <sheetData>
    <row r="1" spans="1:5" x14ac:dyDescent="0.25">
      <c r="A1" s="1" t="s">
        <v>12</v>
      </c>
      <c r="B1" s="1" t="s">
        <v>24</v>
      </c>
      <c r="C1" s="1" t="s">
        <v>25</v>
      </c>
      <c r="E1" s="1" t="s">
        <v>279</v>
      </c>
    </row>
    <row r="2" spans="1:5" x14ac:dyDescent="0.25">
      <c r="A2" t="s">
        <v>13</v>
      </c>
      <c r="B2" t="s">
        <v>16</v>
      </c>
      <c r="C2" t="s">
        <v>26</v>
      </c>
      <c r="E2" t="s">
        <v>281</v>
      </c>
    </row>
    <row r="3" spans="1:5" x14ac:dyDescent="0.25">
      <c r="A3" t="s">
        <v>11</v>
      </c>
      <c r="B3" t="s">
        <v>17</v>
      </c>
      <c r="C3" t="s">
        <v>27</v>
      </c>
      <c r="E3" t="s">
        <v>280</v>
      </c>
    </row>
    <row r="4" spans="1:5" x14ac:dyDescent="0.25">
      <c r="A4" t="s">
        <v>14</v>
      </c>
      <c r="B4" t="s">
        <v>18</v>
      </c>
      <c r="C4" t="s">
        <v>28</v>
      </c>
    </row>
    <row r="5" spans="1:5" x14ac:dyDescent="0.25">
      <c r="A5" t="s">
        <v>340</v>
      </c>
      <c r="B5" t="s">
        <v>19</v>
      </c>
    </row>
    <row r="6" spans="1:5" x14ac:dyDescent="0.25">
      <c r="A6" t="s">
        <v>15</v>
      </c>
      <c r="B6" t="s">
        <v>20</v>
      </c>
    </row>
    <row r="7" spans="1:5" x14ac:dyDescent="0.25">
      <c r="B7" t="s">
        <v>21</v>
      </c>
    </row>
    <row r="8" spans="1:5" x14ac:dyDescent="0.25">
      <c r="B8" t="s">
        <v>22</v>
      </c>
    </row>
    <row r="9" spans="1:5" x14ac:dyDescent="0.25">
      <c r="B9" t="s">
        <v>23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EF0D-D5E8-48C4-848B-A6400A38D5BA}">
  <sheetPr codeName="Sheet12"/>
  <dimension ref="A1:J675"/>
  <sheetViews>
    <sheetView zoomScale="89" zoomScaleNormal="85" workbookViewId="0">
      <pane ySplit="1" topLeftCell="A611" activePane="bottomLeft" state="frozen"/>
      <selection pane="bottomLeft" activeCell="A629" sqref="A629:XFD649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87" customHeight="1" x14ac:dyDescent="0.25"/>
    <row r="2" spans="1:10" x14ac:dyDescent="0.25">
      <c r="A2" s="50" t="s">
        <v>1</v>
      </c>
      <c r="B2" s="50" t="s">
        <v>68</v>
      </c>
      <c r="C2" s="50" t="s">
        <v>73</v>
      </c>
      <c r="D2" s="50" t="s">
        <v>74</v>
      </c>
      <c r="E2" s="50" t="s">
        <v>75</v>
      </c>
      <c r="F2" s="50" t="s">
        <v>76</v>
      </c>
      <c r="G2" s="50" t="s">
        <v>39</v>
      </c>
      <c r="H2" s="50" t="s">
        <v>58</v>
      </c>
      <c r="I2" s="50" t="s">
        <v>182</v>
      </c>
      <c r="J2" s="50" t="s">
        <v>1411</v>
      </c>
    </row>
    <row r="3" spans="1:10" x14ac:dyDescent="0.25">
      <c r="A3" s="34" t="s">
        <v>435</v>
      </c>
      <c r="B3" s="34" t="s">
        <v>353</v>
      </c>
      <c r="C3" s="34" t="s">
        <v>77</v>
      </c>
      <c r="D3" s="35" t="s">
        <v>84</v>
      </c>
      <c r="E3" s="35" t="s">
        <v>81</v>
      </c>
      <c r="F3" s="36"/>
      <c r="G3" s="8"/>
      <c r="H3" s="8"/>
      <c r="I3" s="8"/>
    </row>
    <row r="4" spans="1:10" x14ac:dyDescent="0.25">
      <c r="A4" s="4" t="s">
        <v>435</v>
      </c>
      <c r="B4" s="4" t="s">
        <v>353</v>
      </c>
      <c r="C4" s="4" t="s">
        <v>77</v>
      </c>
      <c r="D4" s="16" t="s">
        <v>82</v>
      </c>
      <c r="E4" s="16" t="s">
        <v>79</v>
      </c>
      <c r="F4" s="3"/>
      <c r="G4" s="8"/>
      <c r="H4" s="8"/>
      <c r="I4" s="8"/>
    </row>
    <row r="5" spans="1:10" x14ac:dyDescent="0.25">
      <c r="A5" s="4" t="s">
        <v>435</v>
      </c>
      <c r="B5" s="4" t="s">
        <v>353</v>
      </c>
      <c r="C5" s="4" t="s">
        <v>77</v>
      </c>
      <c r="D5" s="16" t="s">
        <v>85</v>
      </c>
      <c r="E5" s="16" t="s">
        <v>85</v>
      </c>
      <c r="F5" s="3"/>
      <c r="G5" s="8"/>
      <c r="H5" s="8"/>
      <c r="I5" s="8"/>
    </row>
    <row r="6" spans="1:10" x14ac:dyDescent="0.25">
      <c r="A6" s="4" t="s">
        <v>435</v>
      </c>
      <c r="B6" s="4" t="s">
        <v>353</v>
      </c>
      <c r="C6" s="4" t="s">
        <v>77</v>
      </c>
      <c r="D6" s="16" t="s">
        <v>86</v>
      </c>
      <c r="E6" s="16" t="s">
        <v>87</v>
      </c>
      <c r="F6" s="3"/>
      <c r="G6" s="8"/>
      <c r="H6" s="8"/>
      <c r="I6" s="8"/>
    </row>
    <row r="7" spans="1:10" x14ac:dyDescent="0.25">
      <c r="A7" s="4" t="s">
        <v>435</v>
      </c>
      <c r="B7" s="4" t="s">
        <v>353</v>
      </c>
      <c r="C7" s="4" t="s">
        <v>77</v>
      </c>
      <c r="D7" s="16" t="s">
        <v>88</v>
      </c>
      <c r="E7" s="16" t="s">
        <v>88</v>
      </c>
      <c r="F7" s="3"/>
      <c r="G7" s="8"/>
      <c r="H7" s="8"/>
      <c r="I7" s="8"/>
    </row>
    <row r="8" spans="1:10" x14ac:dyDescent="0.25">
      <c r="A8" s="4" t="s">
        <v>435</v>
      </c>
      <c r="B8" s="4" t="s">
        <v>353</v>
      </c>
      <c r="C8" s="4" t="s">
        <v>77</v>
      </c>
      <c r="D8" s="16" t="s">
        <v>99</v>
      </c>
      <c r="E8" s="16" t="s">
        <v>99</v>
      </c>
      <c r="F8" s="3"/>
      <c r="G8" s="8"/>
      <c r="H8" s="8"/>
      <c r="I8" s="8"/>
    </row>
    <row r="9" spans="1:10" x14ac:dyDescent="0.25">
      <c r="A9" s="4" t="s">
        <v>435</v>
      </c>
      <c r="B9" s="4" t="s">
        <v>353</v>
      </c>
      <c r="C9" s="4" t="s">
        <v>77</v>
      </c>
      <c r="D9" s="16" t="s">
        <v>100</v>
      </c>
      <c r="E9" s="16" t="s">
        <v>475</v>
      </c>
      <c r="F9" s="3"/>
      <c r="G9" s="8"/>
      <c r="H9" s="8"/>
      <c r="I9" s="8"/>
    </row>
    <row r="10" spans="1:10" x14ac:dyDescent="0.25">
      <c r="A10" s="4" t="s">
        <v>435</v>
      </c>
      <c r="B10" s="4" t="s">
        <v>353</v>
      </c>
      <c r="C10" s="4" t="s">
        <v>77</v>
      </c>
      <c r="D10" s="16" t="s">
        <v>102</v>
      </c>
      <c r="E10" s="16" t="s">
        <v>102</v>
      </c>
      <c r="F10" s="3"/>
      <c r="G10" s="8"/>
      <c r="H10" s="8"/>
      <c r="I10" s="8"/>
    </row>
    <row r="11" spans="1:10" ht="30" x14ac:dyDescent="0.25">
      <c r="A11" s="4" t="s">
        <v>435</v>
      </c>
      <c r="B11" s="4" t="s">
        <v>353</v>
      </c>
      <c r="C11" s="4" t="s">
        <v>77</v>
      </c>
      <c r="D11" s="16" t="s">
        <v>354</v>
      </c>
      <c r="E11" s="16" t="s">
        <v>79</v>
      </c>
      <c r="F11" s="16" t="s">
        <v>104</v>
      </c>
      <c r="G11" s="8"/>
      <c r="H11" s="8"/>
      <c r="I11" s="8"/>
    </row>
    <row r="12" spans="1:10" x14ac:dyDescent="0.25">
      <c r="A12" s="4" t="s">
        <v>435</v>
      </c>
      <c r="B12" s="4" t="s">
        <v>353</v>
      </c>
      <c r="C12" s="4" t="s">
        <v>77</v>
      </c>
      <c r="D12" s="16" t="s">
        <v>107</v>
      </c>
      <c r="E12" s="16" t="s">
        <v>89</v>
      </c>
      <c r="F12" s="3"/>
      <c r="G12" s="8"/>
      <c r="H12" s="8"/>
      <c r="I12" s="8"/>
    </row>
    <row r="13" spans="1:10" x14ac:dyDescent="0.25">
      <c r="A13" s="4" t="s">
        <v>435</v>
      </c>
      <c r="B13" s="4" t="s">
        <v>353</v>
      </c>
      <c r="C13" s="4" t="s">
        <v>77</v>
      </c>
      <c r="D13" s="16" t="s">
        <v>428</v>
      </c>
      <c r="E13" s="16" t="s">
        <v>476</v>
      </c>
      <c r="F13" s="3"/>
      <c r="G13" s="8"/>
      <c r="H13" s="8"/>
      <c r="I13" s="8"/>
    </row>
    <row r="14" spans="1:10" x14ac:dyDescent="0.25">
      <c r="A14" s="4" t="s">
        <v>435</v>
      </c>
      <c r="B14" s="4" t="s">
        <v>353</v>
      </c>
      <c r="C14" s="4" t="s">
        <v>77</v>
      </c>
      <c r="D14" s="16" t="s">
        <v>356</v>
      </c>
      <c r="E14" s="16" t="s">
        <v>356</v>
      </c>
      <c r="F14" s="3"/>
      <c r="G14" s="8"/>
      <c r="H14" s="8"/>
      <c r="I14" s="8"/>
    </row>
    <row r="15" spans="1:10" x14ac:dyDescent="0.25">
      <c r="A15" s="4" t="s">
        <v>435</v>
      </c>
      <c r="B15" s="4" t="s">
        <v>353</v>
      </c>
      <c r="C15" s="4" t="s">
        <v>77</v>
      </c>
      <c r="D15" s="16" t="s">
        <v>357</v>
      </c>
      <c r="E15" s="16" t="s">
        <v>357</v>
      </c>
      <c r="F15" s="3"/>
      <c r="G15" s="8"/>
      <c r="H15" s="8"/>
      <c r="I15" s="8"/>
    </row>
    <row r="16" spans="1:10" x14ac:dyDescent="0.25">
      <c r="A16" s="4" t="s">
        <v>435</v>
      </c>
      <c r="B16" s="4" t="s">
        <v>353</v>
      </c>
      <c r="C16" s="4" t="s">
        <v>77</v>
      </c>
      <c r="D16" s="16" t="s">
        <v>358</v>
      </c>
      <c r="E16" s="16" t="s">
        <v>358</v>
      </c>
      <c r="F16" s="3"/>
      <c r="G16" s="8"/>
      <c r="H16" s="8"/>
      <c r="I16" s="8"/>
    </row>
    <row r="17" spans="1:9" x14ac:dyDescent="0.25">
      <c r="A17" s="4" t="s">
        <v>435</v>
      </c>
      <c r="B17" s="4" t="s">
        <v>353</v>
      </c>
      <c r="C17" s="4" t="s">
        <v>77</v>
      </c>
      <c r="D17" s="16" t="s">
        <v>359</v>
      </c>
      <c r="E17" s="16" t="s">
        <v>359</v>
      </c>
      <c r="F17" s="3"/>
      <c r="G17" s="8"/>
      <c r="H17" s="8"/>
      <c r="I17" s="8"/>
    </row>
    <row r="18" spans="1:9" x14ac:dyDescent="0.25">
      <c r="A18" s="4" t="s">
        <v>435</v>
      </c>
      <c r="B18" s="4" t="s">
        <v>353</v>
      </c>
      <c r="C18" s="4" t="s">
        <v>77</v>
      </c>
      <c r="D18" s="16" t="s">
        <v>360</v>
      </c>
      <c r="E18" s="16" t="s">
        <v>360</v>
      </c>
      <c r="F18" s="3"/>
      <c r="G18" s="8"/>
      <c r="H18" s="8"/>
      <c r="I18" s="8"/>
    </row>
    <row r="19" spans="1:9" x14ac:dyDescent="0.25">
      <c r="A19" s="4" t="s">
        <v>435</v>
      </c>
      <c r="B19" s="4" t="s">
        <v>353</v>
      </c>
      <c r="C19" s="4" t="s">
        <v>77</v>
      </c>
      <c r="D19" s="16" t="s">
        <v>361</v>
      </c>
      <c r="E19" s="16" t="s">
        <v>361</v>
      </c>
      <c r="F19" s="3"/>
      <c r="G19" s="8"/>
      <c r="H19" s="8"/>
      <c r="I19" s="8"/>
    </row>
    <row r="20" spans="1:9" ht="30" x14ac:dyDescent="0.25">
      <c r="A20" s="4" t="s">
        <v>435</v>
      </c>
      <c r="B20" s="4" t="s">
        <v>353</v>
      </c>
      <c r="C20" s="4" t="s">
        <v>95</v>
      </c>
      <c r="D20" s="16" t="e">
        <f>I20&amp;".txt"</f>
        <v>#REF!</v>
      </c>
      <c r="E20" s="16" t="s">
        <v>81</v>
      </c>
      <c r="F20" s="3"/>
      <c r="G20" s="16" t="s">
        <v>2</v>
      </c>
      <c r="H20" s="16" t="s">
        <v>59</v>
      </c>
      <c r="I20" s="16" t="e">
        <f>VLOOKUP(A20&amp;G20&amp;H20,#REF!,2,FALSE)</f>
        <v>#REF!</v>
      </c>
    </row>
    <row r="21" spans="1:9" x14ac:dyDescent="0.25">
      <c r="G21" s="8"/>
      <c r="H21" s="8"/>
      <c r="I21" s="8"/>
    </row>
    <row r="22" spans="1:9" x14ac:dyDescent="0.25">
      <c r="G22" s="8"/>
      <c r="H22" s="8"/>
      <c r="I22" s="8"/>
    </row>
    <row r="23" spans="1:9" x14ac:dyDescent="0.25">
      <c r="A23" s="4" t="s">
        <v>1043</v>
      </c>
      <c r="B23" s="4" t="s">
        <v>259</v>
      </c>
      <c r="C23" s="4" t="s">
        <v>96</v>
      </c>
      <c r="D23" s="16" t="e">
        <f>I23&amp;".txt"</f>
        <v>#REF!</v>
      </c>
      <c r="E23" s="16" t="s">
        <v>81</v>
      </c>
      <c r="F23" s="16" t="s">
        <v>916</v>
      </c>
      <c r="G23" s="16" t="s">
        <v>909</v>
      </c>
      <c r="H23" s="16" t="s">
        <v>911</v>
      </c>
      <c r="I23" s="16" t="e">
        <f>VLOOKUP(A23&amp;G23&amp;H23,#REF!,2,FALSE)</f>
        <v>#REF!</v>
      </c>
    </row>
    <row r="24" spans="1:9" x14ac:dyDescent="0.25">
      <c r="G24" s="8"/>
      <c r="H24" s="8"/>
      <c r="I24" s="8"/>
    </row>
    <row r="25" spans="1:9" x14ac:dyDescent="0.25">
      <c r="A25" s="37"/>
      <c r="B25" s="37"/>
      <c r="C25" s="37"/>
      <c r="D25" s="37"/>
      <c r="E25" s="37"/>
      <c r="F25" s="37"/>
      <c r="G25" s="8"/>
      <c r="H25" s="8"/>
      <c r="I25" s="8"/>
    </row>
    <row r="26" spans="1:9" x14ac:dyDescent="0.25">
      <c r="A26" s="37"/>
      <c r="B26" s="37"/>
      <c r="C26" s="37"/>
      <c r="D26" s="37"/>
      <c r="E26" s="37"/>
      <c r="F26" s="37"/>
      <c r="G26" s="8"/>
      <c r="H26" s="8"/>
      <c r="I26" s="8"/>
    </row>
    <row r="27" spans="1:9" x14ac:dyDescent="0.25">
      <c r="G27" s="8"/>
      <c r="H27" s="8"/>
      <c r="I27" s="8"/>
    </row>
    <row r="28" spans="1:9" ht="30" x14ac:dyDescent="0.25">
      <c r="A28" s="4" t="s">
        <v>1173</v>
      </c>
      <c r="B28" s="4" t="s">
        <v>1256</v>
      </c>
      <c r="C28" s="4" t="s">
        <v>77</v>
      </c>
      <c r="D28" s="16" t="s">
        <v>84</v>
      </c>
      <c r="E28" s="16" t="s">
        <v>81</v>
      </c>
      <c r="I28" s="8"/>
    </row>
    <row r="29" spans="1:9" ht="30" x14ac:dyDescent="0.25">
      <c r="A29" s="4" t="s">
        <v>1173</v>
      </c>
      <c r="B29" s="4" t="s">
        <v>1256</v>
      </c>
      <c r="C29" s="4" t="s">
        <v>77</v>
      </c>
      <c r="D29" s="16" t="s">
        <v>1210</v>
      </c>
      <c r="E29" s="16" t="s">
        <v>1210</v>
      </c>
      <c r="I29" s="8"/>
    </row>
    <row r="30" spans="1:9" ht="30" x14ac:dyDescent="0.25">
      <c r="A30" s="4" t="s">
        <v>1173</v>
      </c>
      <c r="B30" s="4" t="s">
        <v>1256</v>
      </c>
      <c r="C30" s="4" t="s">
        <v>77</v>
      </c>
      <c r="D30" s="16" t="s">
        <v>1257</v>
      </c>
      <c r="E30" s="16" t="s">
        <v>81</v>
      </c>
      <c r="F30" s="16" t="s">
        <v>1188</v>
      </c>
      <c r="I30" s="8"/>
    </row>
    <row r="31" spans="1:9" ht="30" x14ac:dyDescent="0.25">
      <c r="A31" s="4" t="s">
        <v>1173</v>
      </c>
      <c r="B31" s="4" t="s">
        <v>1256</v>
      </c>
      <c r="C31" s="4" t="s">
        <v>77</v>
      </c>
      <c r="D31" s="16" t="s">
        <v>1258</v>
      </c>
      <c r="E31" s="16" t="s">
        <v>1210</v>
      </c>
      <c r="F31" s="16" t="s">
        <v>1188</v>
      </c>
      <c r="I31" s="8"/>
    </row>
    <row r="32" spans="1:9" ht="30" x14ac:dyDescent="0.25">
      <c r="A32" s="4" t="s">
        <v>1173</v>
      </c>
      <c r="B32" s="4" t="s">
        <v>1256</v>
      </c>
      <c r="C32" s="4" t="s">
        <v>95</v>
      </c>
      <c r="D32" s="16" t="e">
        <f>I32&amp;".txt"</f>
        <v>#REF!</v>
      </c>
      <c r="E32" s="16" t="s">
        <v>81</v>
      </c>
      <c r="G32" s="16" t="s">
        <v>259</v>
      </c>
      <c r="H32" s="16" t="s">
        <v>59</v>
      </c>
      <c r="I32" s="16" t="e">
        <f>VLOOKUP(A32&amp;G32&amp;H32,#REF!,2,FALSE)</f>
        <v>#REF!</v>
      </c>
    </row>
    <row r="33" spans="1:9" ht="30" x14ac:dyDescent="0.25">
      <c r="A33" s="4" t="s">
        <v>1173</v>
      </c>
      <c r="B33" s="4" t="s">
        <v>1256</v>
      </c>
      <c r="C33" s="4" t="s">
        <v>96</v>
      </c>
      <c r="D33" s="16" t="e">
        <f>I33&amp;".txt"</f>
        <v>#REF!</v>
      </c>
      <c r="E33" s="16" t="s">
        <v>81</v>
      </c>
      <c r="F33" s="16" t="s">
        <v>1188</v>
      </c>
      <c r="G33" s="16" t="s">
        <v>1189</v>
      </c>
      <c r="H33" s="16" t="s">
        <v>60</v>
      </c>
      <c r="I33" s="16" t="e">
        <f>VLOOKUP(A33&amp;G33&amp;H33,#REF!,2,FALSE)</f>
        <v>#REF!</v>
      </c>
    </row>
    <row r="34" spans="1:9" x14ac:dyDescent="0.25">
      <c r="G34" s="8"/>
      <c r="H34" s="8"/>
      <c r="I34" s="8"/>
    </row>
    <row r="35" spans="1:9" ht="30" x14ac:dyDescent="0.25">
      <c r="A35" s="4" t="s">
        <v>1173</v>
      </c>
      <c r="B35" s="4" t="s">
        <v>1445</v>
      </c>
      <c r="C35" s="4" t="s">
        <v>77</v>
      </c>
      <c r="D35" s="22" t="s">
        <v>749</v>
      </c>
      <c r="E35" s="22" t="s">
        <v>203</v>
      </c>
      <c r="G35" s="8"/>
      <c r="H35" s="8"/>
      <c r="I35" s="8"/>
    </row>
    <row r="36" spans="1:9" ht="30" x14ac:dyDescent="0.25">
      <c r="A36" s="4" t="s">
        <v>1173</v>
      </c>
      <c r="B36" s="4" t="s">
        <v>1445</v>
      </c>
      <c r="C36" s="4" t="s">
        <v>77</v>
      </c>
      <c r="D36" s="22" t="s">
        <v>729</v>
      </c>
      <c r="E36" s="22" t="s">
        <v>203</v>
      </c>
      <c r="G36" s="8"/>
      <c r="H36" s="8"/>
      <c r="I36" s="8"/>
    </row>
    <row r="37" spans="1:9" ht="30" x14ac:dyDescent="0.25">
      <c r="A37" s="4" t="s">
        <v>1173</v>
      </c>
      <c r="B37" s="4" t="s">
        <v>1445</v>
      </c>
      <c r="C37" s="4" t="s">
        <v>77</v>
      </c>
      <c r="D37" s="22" t="s">
        <v>750</v>
      </c>
      <c r="E37" s="22" t="s">
        <v>203</v>
      </c>
      <c r="G37" s="8"/>
      <c r="H37" s="8"/>
      <c r="I37" s="8"/>
    </row>
    <row r="38" spans="1:9" ht="30" x14ac:dyDescent="0.25">
      <c r="A38" s="4" t="s">
        <v>1173</v>
      </c>
      <c r="B38" s="4" t="s">
        <v>1445</v>
      </c>
      <c r="C38" s="4" t="s">
        <v>77</v>
      </c>
      <c r="D38" s="22" t="s">
        <v>751</v>
      </c>
      <c r="E38" s="22" t="s">
        <v>203</v>
      </c>
      <c r="G38" s="8"/>
      <c r="H38" s="8"/>
      <c r="I38" s="8"/>
    </row>
    <row r="39" spans="1:9" ht="30" x14ac:dyDescent="0.25">
      <c r="A39" s="4" t="s">
        <v>1173</v>
      </c>
      <c r="B39" s="4" t="s">
        <v>1445</v>
      </c>
      <c r="C39" s="4" t="s">
        <v>77</v>
      </c>
      <c r="D39" s="22" t="s">
        <v>752</v>
      </c>
      <c r="E39" s="22" t="s">
        <v>203</v>
      </c>
      <c r="G39" s="8"/>
      <c r="H39" s="8"/>
      <c r="I39" s="8"/>
    </row>
    <row r="40" spans="1:9" ht="30" x14ac:dyDescent="0.25">
      <c r="A40" s="4" t="s">
        <v>1173</v>
      </c>
      <c r="B40" s="4" t="s">
        <v>1445</v>
      </c>
      <c r="C40" s="4" t="s">
        <v>77</v>
      </c>
      <c r="D40" s="22" t="s">
        <v>733</v>
      </c>
      <c r="E40" s="22" t="s">
        <v>203</v>
      </c>
      <c r="G40" s="8"/>
      <c r="H40" s="8"/>
      <c r="I40" s="8"/>
    </row>
    <row r="41" spans="1:9" ht="30" x14ac:dyDescent="0.25">
      <c r="A41" s="4" t="s">
        <v>1173</v>
      </c>
      <c r="B41" s="4" t="s">
        <v>1445</v>
      </c>
      <c r="C41" s="4" t="s">
        <v>77</v>
      </c>
      <c r="D41" s="22" t="s">
        <v>734</v>
      </c>
      <c r="E41" s="22" t="s">
        <v>203</v>
      </c>
      <c r="G41" s="8"/>
      <c r="H41" s="8"/>
      <c r="I41" s="8"/>
    </row>
    <row r="42" spans="1:9" ht="30" x14ac:dyDescent="0.25">
      <c r="A42" s="4" t="s">
        <v>1173</v>
      </c>
      <c r="B42" s="4" t="s">
        <v>1445</v>
      </c>
      <c r="C42" s="4" t="s">
        <v>77</v>
      </c>
      <c r="D42" s="22" t="s">
        <v>753</v>
      </c>
      <c r="E42" s="22" t="s">
        <v>203</v>
      </c>
      <c r="G42" s="8"/>
      <c r="H42" s="8"/>
      <c r="I42" s="8"/>
    </row>
    <row r="43" spans="1:9" ht="30" x14ac:dyDescent="0.25">
      <c r="A43" s="4" t="s">
        <v>1173</v>
      </c>
      <c r="B43" s="4" t="s">
        <v>1445</v>
      </c>
      <c r="C43" s="4" t="s">
        <v>77</v>
      </c>
      <c r="D43" s="22" t="s">
        <v>754</v>
      </c>
      <c r="E43" s="22" t="s">
        <v>203</v>
      </c>
      <c r="G43" s="8"/>
      <c r="H43" s="8"/>
      <c r="I43" s="8"/>
    </row>
    <row r="44" spans="1:9" ht="30" x14ac:dyDescent="0.25">
      <c r="A44" s="4" t="s">
        <v>1173</v>
      </c>
      <c r="B44" s="4" t="s">
        <v>1445</v>
      </c>
      <c r="C44" s="4" t="s">
        <v>77</v>
      </c>
      <c r="D44" s="22" t="s">
        <v>878</v>
      </c>
      <c r="E44" s="22" t="s">
        <v>203</v>
      </c>
      <c r="G44" s="8"/>
      <c r="H44" s="8"/>
      <c r="I44" s="8"/>
    </row>
    <row r="45" spans="1:9" ht="30" x14ac:dyDescent="0.25">
      <c r="A45" s="4" t="s">
        <v>1173</v>
      </c>
      <c r="B45" s="4" t="s">
        <v>1445</v>
      </c>
      <c r="C45" s="4" t="s">
        <v>77</v>
      </c>
      <c r="D45" s="22" t="s">
        <v>946</v>
      </c>
      <c r="E45" s="22" t="s">
        <v>203</v>
      </c>
      <c r="G45" s="8"/>
      <c r="H45" s="8"/>
      <c r="I45" s="8"/>
    </row>
    <row r="46" spans="1:9" ht="30" x14ac:dyDescent="0.25">
      <c r="A46" s="4" t="s">
        <v>1173</v>
      </c>
      <c r="B46" s="4" t="s">
        <v>1445</v>
      </c>
      <c r="C46" s="4" t="s">
        <v>77</v>
      </c>
      <c r="D46" s="16" t="s">
        <v>477</v>
      </c>
      <c r="E46" s="16" t="s">
        <v>477</v>
      </c>
      <c r="I46" s="8"/>
    </row>
    <row r="47" spans="1:9" ht="30" x14ac:dyDescent="0.25">
      <c r="A47" s="4" t="s">
        <v>1173</v>
      </c>
      <c r="B47" s="4" t="s">
        <v>1445</v>
      </c>
      <c r="C47" s="4" t="s">
        <v>77</v>
      </c>
      <c r="D47" s="16" t="s">
        <v>84</v>
      </c>
      <c r="E47" s="16" t="s">
        <v>81</v>
      </c>
      <c r="I47" s="8"/>
    </row>
    <row r="48" spans="1:9" ht="30" x14ac:dyDescent="0.25">
      <c r="A48" s="4" t="s">
        <v>1173</v>
      </c>
      <c r="B48" s="4" t="s">
        <v>1445</v>
      </c>
      <c r="C48" s="4" t="s">
        <v>77</v>
      </c>
      <c r="D48" s="16" t="s">
        <v>1210</v>
      </c>
      <c r="E48" s="16" t="s">
        <v>1210</v>
      </c>
      <c r="I48" s="8"/>
    </row>
    <row r="49" spans="1:9" ht="30" x14ac:dyDescent="0.25">
      <c r="A49" s="4" t="s">
        <v>1173</v>
      </c>
      <c r="B49" s="4" t="s">
        <v>1445</v>
      </c>
      <c r="C49" s="4" t="s">
        <v>77</v>
      </c>
      <c r="D49" s="16" t="s">
        <v>82</v>
      </c>
      <c r="E49" s="16" t="s">
        <v>79</v>
      </c>
      <c r="I49" s="8"/>
    </row>
    <row r="50" spans="1:9" ht="30" x14ac:dyDescent="0.25">
      <c r="A50" s="4" t="s">
        <v>1173</v>
      </c>
      <c r="B50" s="4" t="s">
        <v>1445</v>
      </c>
      <c r="C50" s="4" t="s">
        <v>77</v>
      </c>
      <c r="D50" s="16" t="s">
        <v>85</v>
      </c>
      <c r="E50" s="16" t="s">
        <v>85</v>
      </c>
      <c r="I50" s="8"/>
    </row>
    <row r="51" spans="1:9" ht="30" x14ac:dyDescent="0.25">
      <c r="A51" s="4" t="s">
        <v>1173</v>
      </c>
      <c r="B51" s="4" t="s">
        <v>1445</v>
      </c>
      <c r="C51" s="4" t="s">
        <v>77</v>
      </c>
      <c r="D51" s="16" t="s">
        <v>86</v>
      </c>
      <c r="E51" s="16" t="s">
        <v>87</v>
      </c>
      <c r="I51" s="8"/>
    </row>
    <row r="52" spans="1:9" ht="30" x14ac:dyDescent="0.25">
      <c r="A52" s="4" t="s">
        <v>1173</v>
      </c>
      <c r="B52" s="4" t="s">
        <v>1445</v>
      </c>
      <c r="C52" s="4" t="s">
        <v>77</v>
      </c>
      <c r="D52" s="16" t="s">
        <v>88</v>
      </c>
      <c r="E52" s="16" t="s">
        <v>88</v>
      </c>
      <c r="I52" s="8"/>
    </row>
    <row r="53" spans="1:9" ht="30" x14ac:dyDescent="0.25">
      <c r="A53" s="4" t="s">
        <v>1173</v>
      </c>
      <c r="B53" s="4" t="s">
        <v>1445</v>
      </c>
      <c r="C53" s="4" t="s">
        <v>77</v>
      </c>
      <c r="D53" s="16" t="s">
        <v>97</v>
      </c>
      <c r="E53" s="16" t="s">
        <v>98</v>
      </c>
      <c r="I53" s="8"/>
    </row>
    <row r="54" spans="1:9" ht="30" x14ac:dyDescent="0.25">
      <c r="A54" s="4" t="s">
        <v>1173</v>
      </c>
      <c r="B54" s="4" t="s">
        <v>1445</v>
      </c>
      <c r="C54" s="4" t="s">
        <v>77</v>
      </c>
      <c r="D54" s="16" t="s">
        <v>99</v>
      </c>
      <c r="E54" s="16" t="s">
        <v>99</v>
      </c>
      <c r="I54" s="8"/>
    </row>
    <row r="55" spans="1:9" ht="30" x14ac:dyDescent="0.25">
      <c r="A55" s="4" t="s">
        <v>1173</v>
      </c>
      <c r="B55" s="4" t="s">
        <v>1445</v>
      </c>
      <c r="C55" s="4" t="s">
        <v>77</v>
      </c>
      <c r="D55" s="16" t="s">
        <v>100</v>
      </c>
      <c r="E55" s="16" t="s">
        <v>101</v>
      </c>
      <c r="I55" s="8"/>
    </row>
    <row r="56" spans="1:9" ht="30" x14ac:dyDescent="0.25">
      <c r="A56" s="4" t="s">
        <v>1173</v>
      </c>
      <c r="B56" s="4" t="s">
        <v>1445</v>
      </c>
      <c r="C56" s="4" t="s">
        <v>77</v>
      </c>
      <c r="D56" s="16" t="s">
        <v>102</v>
      </c>
      <c r="E56" s="16" t="s">
        <v>1176</v>
      </c>
      <c r="I56" s="8"/>
    </row>
    <row r="57" spans="1:9" ht="30" x14ac:dyDescent="0.25">
      <c r="A57" s="4" t="s">
        <v>1173</v>
      </c>
      <c r="B57" s="4" t="s">
        <v>1445</v>
      </c>
      <c r="C57" s="4" t="s">
        <v>77</v>
      </c>
      <c r="D57" s="16" t="s">
        <v>25</v>
      </c>
      <c r="E57" s="16" t="s">
        <v>333</v>
      </c>
      <c r="I57" s="8"/>
    </row>
    <row r="58" spans="1:9" ht="30" x14ac:dyDescent="0.25">
      <c r="A58" s="4" t="s">
        <v>1173</v>
      </c>
      <c r="B58" s="4" t="s">
        <v>1445</v>
      </c>
      <c r="C58" s="4" t="s">
        <v>77</v>
      </c>
      <c r="D58" s="16" t="s">
        <v>103</v>
      </c>
      <c r="E58" s="16" t="s">
        <v>335</v>
      </c>
      <c r="I58" s="8"/>
    </row>
    <row r="59" spans="1:9" ht="30" x14ac:dyDescent="0.25">
      <c r="A59" s="4" t="s">
        <v>1173</v>
      </c>
      <c r="B59" s="4" t="s">
        <v>1445</v>
      </c>
      <c r="C59" s="4" t="s">
        <v>77</v>
      </c>
      <c r="D59" s="16" t="s">
        <v>78</v>
      </c>
      <c r="E59" s="16" t="s">
        <v>79</v>
      </c>
      <c r="F59" s="16" t="s">
        <v>1188</v>
      </c>
      <c r="I59" s="8"/>
    </row>
    <row r="60" spans="1:9" ht="30" x14ac:dyDescent="0.25">
      <c r="A60" s="4" t="s">
        <v>1173</v>
      </c>
      <c r="B60" s="4" t="s">
        <v>1445</v>
      </c>
      <c r="C60" s="4" t="s">
        <v>77</v>
      </c>
      <c r="D60" s="16" t="s">
        <v>93</v>
      </c>
      <c r="E60" s="16" t="s">
        <v>993</v>
      </c>
      <c r="F60" s="16" t="s">
        <v>1188</v>
      </c>
      <c r="I60" s="8"/>
    </row>
    <row r="61" spans="1:9" ht="30" x14ac:dyDescent="0.25">
      <c r="A61" s="4" t="s">
        <v>1173</v>
      </c>
      <c r="B61" s="4" t="s">
        <v>1445</v>
      </c>
      <c r="C61" s="4" t="s">
        <v>77</v>
      </c>
      <c r="D61" s="16" t="s">
        <v>105</v>
      </c>
      <c r="E61" s="16" t="s">
        <v>105</v>
      </c>
      <c r="I61" s="8"/>
    </row>
    <row r="62" spans="1:9" ht="30" x14ac:dyDescent="0.25">
      <c r="A62" s="4" t="s">
        <v>1173</v>
      </c>
      <c r="B62" s="4" t="s">
        <v>1445</v>
      </c>
      <c r="C62" s="4" t="s">
        <v>95</v>
      </c>
      <c r="D62" s="16" t="e">
        <f>I62&amp;".txt"</f>
        <v>#REF!</v>
      </c>
      <c r="E62" s="16" t="s">
        <v>81</v>
      </c>
      <c r="G62" s="16" t="s">
        <v>259</v>
      </c>
      <c r="H62" s="16" t="s">
        <v>59</v>
      </c>
      <c r="I62" s="16" t="e">
        <f>VLOOKUP(A62&amp;G62&amp;H62,#REF!,2,FALSE)</f>
        <v>#REF!</v>
      </c>
    </row>
    <row r="63" spans="1:9" ht="30" x14ac:dyDescent="0.25">
      <c r="A63" s="4" t="s">
        <v>1173</v>
      </c>
      <c r="B63" s="4" t="s">
        <v>1445</v>
      </c>
      <c r="C63" s="4" t="s">
        <v>96</v>
      </c>
      <c r="D63" s="16" t="e">
        <f>I63&amp;".txt"</f>
        <v>#REF!</v>
      </c>
      <c r="E63" s="16" t="s">
        <v>81</v>
      </c>
      <c r="F63" s="16" t="s">
        <v>1188</v>
      </c>
      <c r="G63" s="16" t="s">
        <v>1189</v>
      </c>
      <c r="H63" s="16" t="s">
        <v>60</v>
      </c>
      <c r="I63" s="16" t="e">
        <f>VLOOKUP(A63&amp;G63&amp;H63,#REF!,2,FALSE)</f>
        <v>#REF!</v>
      </c>
    </row>
    <row r="64" spans="1:9" x14ac:dyDescent="0.25">
      <c r="G64" s="8"/>
      <c r="H64" s="8"/>
      <c r="I64" s="8"/>
    </row>
    <row r="65" spans="1:9" ht="30" x14ac:dyDescent="0.25">
      <c r="A65" s="4" t="s">
        <v>1173</v>
      </c>
      <c r="B65" s="4" t="s">
        <v>1259</v>
      </c>
      <c r="C65" s="4" t="s">
        <v>77</v>
      </c>
      <c r="D65" s="16" t="s">
        <v>80</v>
      </c>
      <c r="E65" s="16" t="s">
        <v>1210</v>
      </c>
      <c r="G65" s="8"/>
      <c r="H65" s="8"/>
      <c r="I65" s="8"/>
    </row>
    <row r="66" spans="1:9" ht="30" x14ac:dyDescent="0.25">
      <c r="A66" s="4" t="s">
        <v>1173</v>
      </c>
      <c r="B66" s="4" t="s">
        <v>1259</v>
      </c>
      <c r="C66" s="4" t="s">
        <v>77</v>
      </c>
      <c r="D66" s="16" t="s">
        <v>84</v>
      </c>
      <c r="E66" s="16" t="s">
        <v>1210</v>
      </c>
      <c r="F66" s="16" t="s">
        <v>1202</v>
      </c>
      <c r="G66" s="8"/>
      <c r="H66" s="8"/>
      <c r="I66" s="8"/>
    </row>
    <row r="67" spans="1:9" ht="30" x14ac:dyDescent="0.25">
      <c r="A67" s="4" t="s">
        <v>1173</v>
      </c>
      <c r="B67" s="4" t="s">
        <v>1259</v>
      </c>
      <c r="C67" s="4" t="s">
        <v>95</v>
      </c>
      <c r="D67" s="16" t="e">
        <f>I67&amp;".txt"</f>
        <v>#REF!</v>
      </c>
      <c r="E67" s="16"/>
      <c r="G67" s="16" t="s">
        <v>1189</v>
      </c>
      <c r="H67" s="16" t="s">
        <v>60</v>
      </c>
      <c r="I67" s="16" t="e">
        <f>VLOOKUP(A67&amp;G67&amp;H67,#REF!,2,FALSE)</f>
        <v>#REF!</v>
      </c>
    </row>
    <row r="68" spans="1:9" ht="30" x14ac:dyDescent="0.25">
      <c r="A68" s="4" t="s">
        <v>1173</v>
      </c>
      <c r="B68" s="4" t="s">
        <v>1259</v>
      </c>
      <c r="C68" s="4" t="s">
        <v>96</v>
      </c>
      <c r="D68" s="16" t="e">
        <f>I68&amp;".txt"</f>
        <v>#REF!</v>
      </c>
      <c r="E68" s="16" t="s">
        <v>81</v>
      </c>
      <c r="F68" s="16" t="s">
        <v>1202</v>
      </c>
      <c r="G68" s="16" t="s">
        <v>259</v>
      </c>
      <c r="H68" s="16" t="s">
        <v>59</v>
      </c>
      <c r="I68" s="16" t="e">
        <f>VLOOKUP(A68&amp;G68&amp;H68,#REF!,2,FALSE)</f>
        <v>#REF!</v>
      </c>
    </row>
    <row r="69" spans="1:9" x14ac:dyDescent="0.25">
      <c r="G69" s="8"/>
      <c r="H69" s="8"/>
      <c r="I69" s="8"/>
    </row>
    <row r="70" spans="1:9" ht="30" x14ac:dyDescent="0.25">
      <c r="A70" s="4" t="s">
        <v>1173</v>
      </c>
      <c r="B70" s="4" t="s">
        <v>1209</v>
      </c>
      <c r="C70" s="4" t="s">
        <v>77</v>
      </c>
      <c r="D70" s="16" t="s">
        <v>997</v>
      </c>
      <c r="E70" s="16" t="s">
        <v>203</v>
      </c>
      <c r="G70" s="8"/>
      <c r="H70" s="8"/>
      <c r="I70" s="8"/>
    </row>
    <row r="71" spans="1:9" ht="30" x14ac:dyDescent="0.25">
      <c r="A71" s="4" t="s">
        <v>1173</v>
      </c>
      <c r="B71" s="4" t="s">
        <v>1209</v>
      </c>
      <c r="C71" s="4" t="s">
        <v>77</v>
      </c>
      <c r="D71" s="16" t="s">
        <v>905</v>
      </c>
      <c r="E71" s="16" t="s">
        <v>203</v>
      </c>
      <c r="G71" s="8"/>
      <c r="H71" s="8"/>
      <c r="I71" s="8"/>
    </row>
    <row r="72" spans="1:9" ht="30" x14ac:dyDescent="0.25">
      <c r="A72" s="4" t="s">
        <v>1173</v>
      </c>
      <c r="B72" s="4" t="s">
        <v>1209</v>
      </c>
      <c r="C72" s="4" t="s">
        <v>77</v>
      </c>
      <c r="D72" s="16" t="s">
        <v>998</v>
      </c>
      <c r="E72" s="16" t="s">
        <v>203</v>
      </c>
      <c r="G72" s="8"/>
      <c r="H72" s="8"/>
      <c r="I72" s="8"/>
    </row>
    <row r="73" spans="1:9" ht="30" x14ac:dyDescent="0.25">
      <c r="A73" s="4" t="s">
        <v>1173</v>
      </c>
      <c r="B73" s="4" t="s">
        <v>1209</v>
      </c>
      <c r="C73" s="4" t="s">
        <v>77</v>
      </c>
      <c r="D73" s="16" t="s">
        <v>906</v>
      </c>
      <c r="E73" s="16" t="s">
        <v>203</v>
      </c>
      <c r="G73" s="8"/>
      <c r="H73" s="8"/>
      <c r="I73" s="8"/>
    </row>
    <row r="74" spans="1:9" ht="30" x14ac:dyDescent="0.25">
      <c r="A74" s="4" t="s">
        <v>1173</v>
      </c>
      <c r="B74" s="4" t="s">
        <v>1209</v>
      </c>
      <c r="C74" s="4" t="s">
        <v>77</v>
      </c>
      <c r="D74" s="16" t="s">
        <v>907</v>
      </c>
      <c r="E74" s="16" t="s">
        <v>203</v>
      </c>
      <c r="G74" s="8"/>
      <c r="H74" s="8"/>
      <c r="I74" s="8"/>
    </row>
    <row r="75" spans="1:9" ht="30" x14ac:dyDescent="0.25">
      <c r="A75" s="4" t="s">
        <v>1173</v>
      </c>
      <c r="B75" s="4" t="s">
        <v>1209</v>
      </c>
      <c r="C75" s="4" t="s">
        <v>77</v>
      </c>
      <c r="D75" s="16" t="s">
        <v>999</v>
      </c>
      <c r="E75" s="16" t="s">
        <v>203</v>
      </c>
      <c r="G75" s="8"/>
      <c r="H75" s="8"/>
      <c r="I75" s="8"/>
    </row>
    <row r="76" spans="1:9" ht="30" x14ac:dyDescent="0.25">
      <c r="A76" s="4" t="s">
        <v>1173</v>
      </c>
      <c r="B76" s="4" t="s">
        <v>1209</v>
      </c>
      <c r="C76" s="4" t="s">
        <v>77</v>
      </c>
      <c r="D76" s="16" t="s">
        <v>908</v>
      </c>
      <c r="E76" s="16" t="s">
        <v>203</v>
      </c>
      <c r="G76" s="8"/>
      <c r="H76" s="8"/>
      <c r="I76" s="8"/>
    </row>
    <row r="77" spans="1:9" ht="30" x14ac:dyDescent="0.25">
      <c r="A77" s="4" t="s">
        <v>1173</v>
      </c>
      <c r="B77" s="4" t="s">
        <v>1209</v>
      </c>
      <c r="C77" s="4" t="s">
        <v>77</v>
      </c>
      <c r="D77" s="16" t="s">
        <v>1000</v>
      </c>
      <c r="E77" s="16" t="s">
        <v>203</v>
      </c>
      <c r="G77" s="8"/>
      <c r="H77" s="8"/>
      <c r="I77" s="8"/>
    </row>
    <row r="78" spans="1:9" ht="30" x14ac:dyDescent="0.25">
      <c r="A78" s="4" t="s">
        <v>1173</v>
      </c>
      <c r="B78" s="4" t="s">
        <v>1209</v>
      </c>
      <c r="C78" s="4" t="s">
        <v>77</v>
      </c>
      <c r="D78" s="16" t="s">
        <v>900</v>
      </c>
      <c r="E78" s="16" t="s">
        <v>203</v>
      </c>
      <c r="G78" s="8"/>
      <c r="H78" s="8"/>
      <c r="I78" s="8"/>
    </row>
    <row r="79" spans="1:9" ht="30" x14ac:dyDescent="0.25">
      <c r="A79" s="4" t="s">
        <v>1173</v>
      </c>
      <c r="B79" s="4" t="s">
        <v>1209</v>
      </c>
      <c r="C79" s="4" t="s">
        <v>77</v>
      </c>
      <c r="D79" s="16" t="s">
        <v>1001</v>
      </c>
      <c r="E79" s="16" t="s">
        <v>203</v>
      </c>
      <c r="G79" s="8"/>
      <c r="H79" s="8"/>
      <c r="I79" s="8"/>
    </row>
    <row r="80" spans="1:9" ht="30" x14ac:dyDescent="0.25">
      <c r="A80" s="4" t="s">
        <v>1173</v>
      </c>
      <c r="B80" s="4" t="s">
        <v>1209</v>
      </c>
      <c r="C80" s="4" t="s">
        <v>77</v>
      </c>
      <c r="D80" s="16" t="s">
        <v>1002</v>
      </c>
      <c r="E80" s="16" t="s">
        <v>203</v>
      </c>
      <c r="G80" s="8"/>
      <c r="H80" s="8"/>
      <c r="I80" s="8"/>
    </row>
    <row r="81" spans="1:9" ht="30" x14ac:dyDescent="0.25">
      <c r="A81" s="4" t="s">
        <v>1173</v>
      </c>
      <c r="B81" s="4" t="s">
        <v>1209</v>
      </c>
      <c r="C81" s="4" t="s">
        <v>77</v>
      </c>
      <c r="D81" s="16" t="s">
        <v>78</v>
      </c>
      <c r="E81" s="16" t="s">
        <v>79</v>
      </c>
      <c r="G81" s="8"/>
      <c r="H81" s="8"/>
      <c r="I81" s="8"/>
    </row>
    <row r="82" spans="1:9" ht="30" x14ac:dyDescent="0.25">
      <c r="A82" s="4" t="s">
        <v>1173</v>
      </c>
      <c r="B82" s="4" t="s">
        <v>1209</v>
      </c>
      <c r="C82" s="4" t="s">
        <v>77</v>
      </c>
      <c r="D82" s="16" t="s">
        <v>477</v>
      </c>
      <c r="E82" s="16" t="s">
        <v>477</v>
      </c>
      <c r="G82" s="8"/>
      <c r="H82" s="8"/>
      <c r="I82" s="8"/>
    </row>
    <row r="83" spans="1:9" ht="30" x14ac:dyDescent="0.25">
      <c r="A83" s="4" t="s">
        <v>1173</v>
      </c>
      <c r="B83" s="4" t="s">
        <v>1209</v>
      </c>
      <c r="C83" s="4" t="s">
        <v>77</v>
      </c>
      <c r="D83" s="16" t="s">
        <v>80</v>
      </c>
      <c r="E83" s="16" t="s">
        <v>1210</v>
      </c>
      <c r="G83" s="8"/>
      <c r="H83" s="8"/>
      <c r="I83" s="8"/>
    </row>
    <row r="84" spans="1:9" ht="30" x14ac:dyDescent="0.25">
      <c r="A84" s="4" t="s">
        <v>1173</v>
      </c>
      <c r="B84" s="4" t="s">
        <v>1209</v>
      </c>
      <c r="C84" s="4" t="s">
        <v>77</v>
      </c>
      <c r="D84" s="16" t="s">
        <v>82</v>
      </c>
      <c r="E84" s="16" t="s">
        <v>79</v>
      </c>
      <c r="F84" s="16" t="s">
        <v>1202</v>
      </c>
      <c r="G84" s="8"/>
      <c r="H84" s="8"/>
      <c r="I84" s="8"/>
    </row>
    <row r="85" spans="1:9" ht="30" x14ac:dyDescent="0.25">
      <c r="A85" s="4" t="s">
        <v>1173</v>
      </c>
      <c r="B85" s="4" t="s">
        <v>1209</v>
      </c>
      <c r="C85" s="4" t="s">
        <v>77</v>
      </c>
      <c r="D85" s="16" t="s">
        <v>84</v>
      </c>
      <c r="E85" s="16" t="s">
        <v>1210</v>
      </c>
      <c r="F85" s="16" t="s">
        <v>1202</v>
      </c>
      <c r="G85" s="8"/>
      <c r="H85" s="8"/>
      <c r="I85" s="8"/>
    </row>
    <row r="86" spans="1:9" ht="30" x14ac:dyDescent="0.25">
      <c r="A86" s="4" t="s">
        <v>1173</v>
      </c>
      <c r="B86" s="4" t="s">
        <v>1209</v>
      </c>
      <c r="C86" s="4" t="s">
        <v>77</v>
      </c>
      <c r="D86" s="16" t="s">
        <v>85</v>
      </c>
      <c r="E86" s="16" t="s">
        <v>85</v>
      </c>
      <c r="F86" s="16" t="s">
        <v>1202</v>
      </c>
      <c r="G86" s="8"/>
      <c r="H86" s="8"/>
      <c r="I86" s="8"/>
    </row>
    <row r="87" spans="1:9" ht="30" x14ac:dyDescent="0.25">
      <c r="A87" s="4" t="s">
        <v>1173</v>
      </c>
      <c r="B87" s="4" t="s">
        <v>1209</v>
      </c>
      <c r="C87" s="4" t="s">
        <v>77</v>
      </c>
      <c r="D87" s="16" t="s">
        <v>994</v>
      </c>
      <c r="E87" s="16" t="s">
        <v>474</v>
      </c>
      <c r="F87" s="16" t="s">
        <v>1202</v>
      </c>
      <c r="G87" s="8"/>
      <c r="H87" s="8"/>
      <c r="I87" s="8"/>
    </row>
    <row r="88" spans="1:9" ht="30" x14ac:dyDescent="0.25">
      <c r="A88" s="4" t="s">
        <v>1173</v>
      </c>
      <c r="B88" s="4" t="s">
        <v>1209</v>
      </c>
      <c r="C88" s="4" t="s">
        <v>77</v>
      </c>
      <c r="D88" s="16" t="s">
        <v>86</v>
      </c>
      <c r="E88" s="16" t="s">
        <v>87</v>
      </c>
      <c r="F88" s="16" t="s">
        <v>1202</v>
      </c>
      <c r="G88" s="8"/>
      <c r="H88" s="8"/>
      <c r="I88" s="8"/>
    </row>
    <row r="89" spans="1:9" ht="30" x14ac:dyDescent="0.25">
      <c r="A89" s="4" t="s">
        <v>1173</v>
      </c>
      <c r="B89" s="4" t="s">
        <v>1209</v>
      </c>
      <c r="C89" s="4" t="s">
        <v>77</v>
      </c>
      <c r="D89" s="16" t="s">
        <v>88</v>
      </c>
      <c r="E89" s="16" t="s">
        <v>88</v>
      </c>
      <c r="F89" s="16" t="s">
        <v>1202</v>
      </c>
      <c r="G89" s="8"/>
      <c r="H89" s="8"/>
      <c r="I89" s="8"/>
    </row>
    <row r="90" spans="1:9" ht="30" x14ac:dyDescent="0.25">
      <c r="A90" s="4" t="s">
        <v>1173</v>
      </c>
      <c r="B90" s="4" t="s">
        <v>1209</v>
      </c>
      <c r="C90" s="4" t="s">
        <v>77</v>
      </c>
      <c r="D90" s="16" t="s">
        <v>99</v>
      </c>
      <c r="E90" s="16" t="s">
        <v>99</v>
      </c>
      <c r="F90" s="16" t="s">
        <v>1202</v>
      </c>
      <c r="G90" s="8"/>
      <c r="H90" s="8"/>
      <c r="I90" s="8"/>
    </row>
    <row r="91" spans="1:9" ht="30" x14ac:dyDescent="0.25">
      <c r="A91" s="4" t="s">
        <v>1173</v>
      </c>
      <c r="B91" s="4" t="s">
        <v>1209</v>
      </c>
      <c r="C91" s="4" t="s">
        <v>77</v>
      </c>
      <c r="D91" s="16" t="s">
        <v>97</v>
      </c>
      <c r="E91" s="16" t="s">
        <v>97</v>
      </c>
      <c r="F91" s="16" t="s">
        <v>1202</v>
      </c>
      <c r="G91" s="8"/>
      <c r="H91" s="8"/>
      <c r="I91" s="8"/>
    </row>
    <row r="92" spans="1:9" ht="30" x14ac:dyDescent="0.25">
      <c r="A92" s="4" t="s">
        <v>1173</v>
      </c>
      <c r="B92" s="4" t="s">
        <v>1209</v>
      </c>
      <c r="C92" s="4" t="s">
        <v>77</v>
      </c>
      <c r="D92" s="16" t="s">
        <v>25</v>
      </c>
      <c r="E92" s="16" t="s">
        <v>25</v>
      </c>
      <c r="F92" s="16" t="s">
        <v>1202</v>
      </c>
      <c r="G92" s="8"/>
      <c r="H92" s="8"/>
      <c r="I92" s="8"/>
    </row>
    <row r="93" spans="1:9" ht="30" x14ac:dyDescent="0.25">
      <c r="A93" s="4" t="s">
        <v>1173</v>
      </c>
      <c r="B93" s="4" t="s">
        <v>1209</v>
      </c>
      <c r="C93" s="4" t="s">
        <v>77</v>
      </c>
      <c r="D93" s="16" t="s">
        <v>89</v>
      </c>
      <c r="E93" s="16" t="s">
        <v>89</v>
      </c>
      <c r="G93" s="8"/>
      <c r="H93" s="8"/>
      <c r="I93" s="8"/>
    </row>
    <row r="94" spans="1:9" ht="30" x14ac:dyDescent="0.25">
      <c r="A94" s="4" t="s">
        <v>1173</v>
      </c>
      <c r="B94" s="4" t="s">
        <v>1209</v>
      </c>
      <c r="C94" s="4" t="s">
        <v>77</v>
      </c>
      <c r="D94" s="16" t="s">
        <v>90</v>
      </c>
      <c r="E94" s="16" t="s">
        <v>90</v>
      </c>
      <c r="G94" s="8"/>
      <c r="H94" s="8"/>
      <c r="I94" s="8"/>
    </row>
    <row r="95" spans="1:9" ht="30" x14ac:dyDescent="0.25">
      <c r="A95" s="4" t="s">
        <v>1173</v>
      </c>
      <c r="B95" s="4" t="s">
        <v>1209</v>
      </c>
      <c r="C95" s="4" t="s">
        <v>77</v>
      </c>
      <c r="D95" s="16" t="s">
        <v>93</v>
      </c>
      <c r="E95" s="16" t="s">
        <v>93</v>
      </c>
      <c r="G95" s="8"/>
      <c r="H95" s="8"/>
      <c r="I95" s="8"/>
    </row>
    <row r="96" spans="1:9" ht="30" x14ac:dyDescent="0.25">
      <c r="A96" s="4" t="s">
        <v>1173</v>
      </c>
      <c r="B96" s="4" t="s">
        <v>1209</v>
      </c>
      <c r="C96" s="4" t="s">
        <v>77</v>
      </c>
      <c r="D96" s="16" t="s">
        <v>94</v>
      </c>
      <c r="E96" s="16" t="s">
        <v>94</v>
      </c>
      <c r="G96" s="8"/>
      <c r="H96" s="8"/>
      <c r="I96" s="8"/>
    </row>
    <row r="97" spans="1:9" ht="30" x14ac:dyDescent="0.25">
      <c r="A97" s="4" t="s">
        <v>1173</v>
      </c>
      <c r="B97" s="4" t="s">
        <v>1209</v>
      </c>
      <c r="C97" s="4" t="s">
        <v>95</v>
      </c>
      <c r="D97" s="16" t="e">
        <f>I97&amp;".txt"</f>
        <v>#REF!</v>
      </c>
      <c r="E97" s="16"/>
      <c r="G97" s="16" t="s">
        <v>1189</v>
      </c>
      <c r="H97" s="16" t="s">
        <v>60</v>
      </c>
      <c r="I97" s="16" t="e">
        <f>VLOOKUP(A97&amp;G97&amp;H97,#REF!,2,FALSE)</f>
        <v>#REF!</v>
      </c>
    </row>
    <row r="98" spans="1:9" ht="30" x14ac:dyDescent="0.25">
      <c r="A98" s="4" t="s">
        <v>1173</v>
      </c>
      <c r="B98" s="4" t="s">
        <v>1209</v>
      </c>
      <c r="C98" s="4" t="s">
        <v>96</v>
      </c>
      <c r="D98" s="16" t="e">
        <f>I98&amp;".txt"</f>
        <v>#REF!</v>
      </c>
      <c r="E98" s="16" t="s">
        <v>81</v>
      </c>
      <c r="F98" s="16" t="s">
        <v>1202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G99" s="8"/>
      <c r="H99" s="8"/>
      <c r="I99" s="8"/>
    </row>
    <row r="100" spans="1:9" ht="30" x14ac:dyDescent="0.25">
      <c r="A100" s="4" t="s">
        <v>1173</v>
      </c>
      <c r="B100" s="4" t="s">
        <v>259</v>
      </c>
      <c r="C100" s="4" t="s">
        <v>77</v>
      </c>
      <c r="D100" s="16" t="s">
        <v>477</v>
      </c>
      <c r="E100" s="16" t="s">
        <v>477</v>
      </c>
      <c r="G100" s="8"/>
      <c r="H100" s="8"/>
      <c r="I100" s="8"/>
    </row>
    <row r="101" spans="1:9" ht="30" x14ac:dyDescent="0.25">
      <c r="A101" s="4" t="s">
        <v>1173</v>
      </c>
      <c r="B101" s="4" t="s">
        <v>259</v>
      </c>
      <c r="C101" s="4" t="s">
        <v>77</v>
      </c>
      <c r="D101" s="16" t="s">
        <v>84</v>
      </c>
      <c r="E101" s="16" t="s">
        <v>1210</v>
      </c>
      <c r="G101" s="8"/>
      <c r="H101" s="8"/>
      <c r="I101" s="8"/>
    </row>
    <row r="102" spans="1:9" ht="30" x14ac:dyDescent="0.25">
      <c r="A102" s="4" t="s">
        <v>1173</v>
      </c>
      <c r="B102" s="4" t="s">
        <v>259</v>
      </c>
      <c r="C102" s="4" t="s">
        <v>77</v>
      </c>
      <c r="D102" s="16" t="s">
        <v>88</v>
      </c>
      <c r="E102" s="16" t="s">
        <v>88</v>
      </c>
      <c r="G102" s="8"/>
      <c r="H102" s="8"/>
      <c r="I102" s="8"/>
    </row>
    <row r="103" spans="1:9" ht="30" x14ac:dyDescent="0.25">
      <c r="A103" s="4" t="s">
        <v>1173</v>
      </c>
      <c r="B103" s="4" t="s">
        <v>259</v>
      </c>
      <c r="C103" s="4" t="s">
        <v>77</v>
      </c>
      <c r="D103" s="16" t="s">
        <v>86</v>
      </c>
      <c r="E103" s="16" t="s">
        <v>87</v>
      </c>
      <c r="G103" s="8"/>
      <c r="H103" s="8"/>
      <c r="I103" s="8"/>
    </row>
    <row r="104" spans="1:9" ht="30" x14ac:dyDescent="0.25">
      <c r="A104" s="4" t="s">
        <v>1173</v>
      </c>
      <c r="B104" s="4" t="s">
        <v>259</v>
      </c>
      <c r="C104" s="4" t="s">
        <v>77</v>
      </c>
      <c r="D104" s="16" t="s">
        <v>1185</v>
      </c>
      <c r="E104" s="16" t="s">
        <v>1210</v>
      </c>
      <c r="F104" s="16" t="s">
        <v>534</v>
      </c>
      <c r="G104" s="8"/>
      <c r="H104" s="8"/>
      <c r="I104" s="8"/>
    </row>
    <row r="105" spans="1:9" ht="30" x14ac:dyDescent="0.25">
      <c r="A105" s="4" t="s">
        <v>1173</v>
      </c>
      <c r="B105" s="4" t="s">
        <v>259</v>
      </c>
      <c r="C105" s="4" t="s">
        <v>77</v>
      </c>
      <c r="D105" s="16" t="s">
        <v>107</v>
      </c>
      <c r="E105" s="16" t="s">
        <v>107</v>
      </c>
      <c r="G105" s="8"/>
      <c r="H105" s="8"/>
      <c r="I105" s="8"/>
    </row>
    <row r="106" spans="1:9" ht="30" x14ac:dyDescent="0.25">
      <c r="A106" s="4" t="s">
        <v>1173</v>
      </c>
      <c r="B106" s="4" t="s">
        <v>259</v>
      </c>
      <c r="C106" s="4" t="s">
        <v>77</v>
      </c>
      <c r="D106" s="16" t="s">
        <v>1183</v>
      </c>
      <c r="E106" s="16" t="s">
        <v>1183</v>
      </c>
      <c r="G106" s="8"/>
      <c r="H106" s="8"/>
      <c r="I106" s="8"/>
    </row>
    <row r="107" spans="1:9" ht="30" x14ac:dyDescent="0.25">
      <c r="A107" s="4" t="s">
        <v>1173</v>
      </c>
      <c r="B107" s="4" t="s">
        <v>259</v>
      </c>
      <c r="C107" s="4" t="s">
        <v>77</v>
      </c>
      <c r="D107" s="16" t="s">
        <v>572</v>
      </c>
      <c r="E107" s="16" t="s">
        <v>572</v>
      </c>
      <c r="G107" s="8"/>
      <c r="H107" s="8"/>
      <c r="I107" s="8"/>
    </row>
    <row r="108" spans="1:9" ht="30" x14ac:dyDescent="0.25">
      <c r="A108" s="4" t="s">
        <v>1173</v>
      </c>
      <c r="B108" s="4" t="s">
        <v>259</v>
      </c>
      <c r="C108" s="4" t="s">
        <v>77</v>
      </c>
      <c r="D108" s="16" t="s">
        <v>361</v>
      </c>
      <c r="E108" s="16" t="s">
        <v>361</v>
      </c>
      <c r="G108" s="8"/>
      <c r="H108" s="8"/>
      <c r="I108" s="8"/>
    </row>
    <row r="109" spans="1:9" ht="30" x14ac:dyDescent="0.25">
      <c r="A109" s="4" t="s">
        <v>1173</v>
      </c>
      <c r="B109" s="4" t="s">
        <v>259</v>
      </c>
      <c r="C109" s="4" t="s">
        <v>77</v>
      </c>
      <c r="D109" s="16" t="s">
        <v>557</v>
      </c>
      <c r="E109" s="16" t="s">
        <v>557</v>
      </c>
      <c r="G109" s="8"/>
      <c r="H109" s="8"/>
      <c r="I109" s="8"/>
    </row>
    <row r="110" spans="1:9" ht="30" x14ac:dyDescent="0.25">
      <c r="A110" s="4" t="s">
        <v>1173</v>
      </c>
      <c r="B110" s="4" t="s">
        <v>259</v>
      </c>
      <c r="C110" s="4" t="s">
        <v>77</v>
      </c>
      <c r="D110" s="16" t="s">
        <v>1184</v>
      </c>
      <c r="E110" s="16" t="s">
        <v>1184</v>
      </c>
      <c r="G110" s="8"/>
      <c r="H110" s="8"/>
      <c r="I110" s="8"/>
    </row>
    <row r="111" spans="1:9" ht="30" x14ac:dyDescent="0.25">
      <c r="A111" s="4" t="s">
        <v>1173</v>
      </c>
      <c r="B111" s="4" t="s">
        <v>259</v>
      </c>
      <c r="C111" s="4" t="s">
        <v>77</v>
      </c>
      <c r="D111" s="16" t="s">
        <v>78</v>
      </c>
      <c r="E111" s="16" t="s">
        <v>79</v>
      </c>
      <c r="F111" s="16" t="s">
        <v>1188</v>
      </c>
      <c r="G111" s="8"/>
      <c r="H111" s="8"/>
      <c r="I111" s="8"/>
    </row>
    <row r="112" spans="1:9" ht="30" x14ac:dyDescent="0.25">
      <c r="A112" s="4" t="s">
        <v>1173</v>
      </c>
      <c r="B112" s="4" t="s">
        <v>259</v>
      </c>
      <c r="C112" s="4" t="s">
        <v>95</v>
      </c>
      <c r="D112" s="16" t="e">
        <f>I112&amp;".txt"</f>
        <v>#REF!</v>
      </c>
      <c r="E112" s="16" t="s">
        <v>81</v>
      </c>
      <c r="G112" s="16" t="s">
        <v>259</v>
      </c>
      <c r="H112" s="16" t="s">
        <v>59</v>
      </c>
      <c r="I112" s="16" t="e">
        <f>VLOOKUP(A112&amp;G112&amp;H112,#REF!,2,FALSE)</f>
        <v>#REF!</v>
      </c>
    </row>
    <row r="113" spans="1:9" ht="30" x14ac:dyDescent="0.25">
      <c r="A113" s="4" t="s">
        <v>1173</v>
      </c>
      <c r="B113" s="4" t="s">
        <v>259</v>
      </c>
      <c r="C113" s="4" t="s">
        <v>96</v>
      </c>
      <c r="D113" s="16" t="e">
        <f>I113&amp;".txt"</f>
        <v>#REF!</v>
      </c>
      <c r="E113" s="16" t="s">
        <v>81</v>
      </c>
      <c r="F113" s="16" t="s">
        <v>534</v>
      </c>
      <c r="G113" s="16" t="s">
        <v>1175</v>
      </c>
      <c r="H113" s="16" t="s">
        <v>1177</v>
      </c>
      <c r="I113" s="16" t="e">
        <f>VLOOKUP(A113&amp;G113&amp;H113,#REF!,2,FALSE)</f>
        <v>#REF!</v>
      </c>
    </row>
    <row r="114" spans="1:9" ht="30" x14ac:dyDescent="0.25">
      <c r="A114" s="4" t="s">
        <v>1173</v>
      </c>
      <c r="B114" s="4" t="s">
        <v>259</v>
      </c>
      <c r="C114" s="4" t="s">
        <v>96</v>
      </c>
      <c r="D114" s="16" t="e">
        <f>I114&amp;".txt"</f>
        <v>#REF!</v>
      </c>
      <c r="E114" s="16" t="s">
        <v>81</v>
      </c>
      <c r="F114" s="16" t="s">
        <v>1188</v>
      </c>
      <c r="G114" s="16" t="s">
        <v>1189</v>
      </c>
      <c r="H114" s="16" t="s">
        <v>60</v>
      </c>
      <c r="I114" s="16" t="e">
        <f>VLOOKUP(A114&amp;G114&amp;H114,#REF!,2,FALSE)</f>
        <v>#REF!</v>
      </c>
    </row>
    <row r="115" spans="1:9" x14ac:dyDescent="0.25">
      <c r="G115" s="8"/>
      <c r="H115" s="8"/>
      <c r="I115" s="8"/>
    </row>
    <row r="116" spans="1:9" ht="30" x14ac:dyDescent="0.25">
      <c r="A116" s="4" t="s">
        <v>1173</v>
      </c>
      <c r="B116" s="4" t="s">
        <v>259</v>
      </c>
      <c r="C116" s="4" t="s">
        <v>77</v>
      </c>
      <c r="D116" s="16" t="s">
        <v>477</v>
      </c>
      <c r="E116" s="16" t="s">
        <v>477</v>
      </c>
      <c r="G116" s="8"/>
      <c r="H116" s="8"/>
      <c r="I116" s="8"/>
    </row>
    <row r="117" spans="1:9" ht="30" x14ac:dyDescent="0.25">
      <c r="A117" s="4" t="s">
        <v>1173</v>
      </c>
      <c r="B117" s="4" t="s">
        <v>259</v>
      </c>
      <c r="C117" s="4" t="s">
        <v>77</v>
      </c>
      <c r="D117" s="16" t="s">
        <v>84</v>
      </c>
      <c r="E117" s="16" t="s">
        <v>1210</v>
      </c>
      <c r="G117" s="8"/>
      <c r="H117" s="8"/>
      <c r="I117" s="8"/>
    </row>
    <row r="118" spans="1:9" ht="30" x14ac:dyDescent="0.25">
      <c r="A118" s="4" t="s">
        <v>1173</v>
      </c>
      <c r="B118" s="4" t="s">
        <v>259</v>
      </c>
      <c r="C118" s="4" t="s">
        <v>77</v>
      </c>
      <c r="D118" s="16" t="s">
        <v>88</v>
      </c>
      <c r="E118" s="16" t="s">
        <v>88</v>
      </c>
      <c r="G118" s="8"/>
      <c r="H118" s="8"/>
      <c r="I118" s="8"/>
    </row>
    <row r="119" spans="1:9" ht="30" x14ac:dyDescent="0.25">
      <c r="A119" s="4" t="s">
        <v>1173</v>
      </c>
      <c r="B119" s="4" t="s">
        <v>259</v>
      </c>
      <c r="C119" s="4" t="s">
        <v>77</v>
      </c>
      <c r="D119" s="16" t="s">
        <v>86</v>
      </c>
      <c r="E119" s="16" t="s">
        <v>87</v>
      </c>
      <c r="G119" s="8"/>
      <c r="H119" s="8"/>
      <c r="I119" s="8"/>
    </row>
    <row r="120" spans="1:9" ht="30" x14ac:dyDescent="0.25">
      <c r="A120" s="4" t="s">
        <v>1173</v>
      </c>
      <c r="B120" s="4" t="s">
        <v>259</v>
      </c>
      <c r="C120" s="4" t="s">
        <v>77</v>
      </c>
      <c r="D120" s="16" t="s">
        <v>1185</v>
      </c>
      <c r="E120" s="16" t="s">
        <v>1210</v>
      </c>
      <c r="F120" s="16" t="s">
        <v>534</v>
      </c>
      <c r="G120" s="8"/>
      <c r="H120" s="8"/>
      <c r="I120" s="8"/>
    </row>
    <row r="121" spans="1:9" ht="30" x14ac:dyDescent="0.25">
      <c r="A121" s="4" t="s">
        <v>1173</v>
      </c>
      <c r="B121" s="4" t="s">
        <v>259</v>
      </c>
      <c r="C121" s="4" t="s">
        <v>77</v>
      </c>
      <c r="D121" s="16" t="s">
        <v>107</v>
      </c>
      <c r="E121" s="16" t="s">
        <v>107</v>
      </c>
      <c r="G121" s="8"/>
      <c r="H121" s="8"/>
      <c r="I121" s="8"/>
    </row>
    <row r="122" spans="1:9" ht="30" x14ac:dyDescent="0.25">
      <c r="A122" s="4" t="s">
        <v>1173</v>
      </c>
      <c r="B122" s="4" t="s">
        <v>259</v>
      </c>
      <c r="C122" s="4" t="s">
        <v>77</v>
      </c>
      <c r="D122" s="16" t="s">
        <v>1183</v>
      </c>
      <c r="E122" s="16" t="s">
        <v>1183</v>
      </c>
      <c r="G122" s="8"/>
      <c r="H122" s="8"/>
      <c r="I122" s="8"/>
    </row>
    <row r="123" spans="1:9" ht="30" x14ac:dyDescent="0.25">
      <c r="A123" s="4" t="s">
        <v>1173</v>
      </c>
      <c r="B123" s="4" t="s">
        <v>259</v>
      </c>
      <c r="C123" s="4" t="s">
        <v>77</v>
      </c>
      <c r="D123" s="16" t="s">
        <v>572</v>
      </c>
      <c r="E123" s="16" t="s">
        <v>572</v>
      </c>
      <c r="G123" s="8"/>
      <c r="H123" s="8"/>
      <c r="I123" s="8"/>
    </row>
    <row r="124" spans="1:9" ht="30" x14ac:dyDescent="0.25">
      <c r="A124" s="4" t="s">
        <v>1173</v>
      </c>
      <c r="B124" s="4" t="s">
        <v>259</v>
      </c>
      <c r="C124" s="4" t="s">
        <v>77</v>
      </c>
      <c r="D124" s="16" t="s">
        <v>361</v>
      </c>
      <c r="E124" s="16" t="s">
        <v>361</v>
      </c>
      <c r="G124" s="8"/>
      <c r="H124" s="8"/>
      <c r="I124" s="8"/>
    </row>
    <row r="125" spans="1:9" ht="30" x14ac:dyDescent="0.25">
      <c r="A125" s="4" t="s">
        <v>1173</v>
      </c>
      <c r="B125" s="4" t="s">
        <v>259</v>
      </c>
      <c r="C125" s="4" t="s">
        <v>77</v>
      </c>
      <c r="D125" s="16" t="s">
        <v>557</v>
      </c>
      <c r="E125" s="16" t="s">
        <v>557</v>
      </c>
      <c r="G125" s="8"/>
      <c r="H125" s="8"/>
      <c r="I125" s="8"/>
    </row>
    <row r="126" spans="1:9" ht="30" x14ac:dyDescent="0.25">
      <c r="A126" s="4" t="s">
        <v>1173</v>
      </c>
      <c r="B126" s="4" t="s">
        <v>259</v>
      </c>
      <c r="C126" s="4" t="s">
        <v>77</v>
      </c>
      <c r="D126" s="16" t="s">
        <v>1184</v>
      </c>
      <c r="E126" s="16" t="s">
        <v>1184</v>
      </c>
      <c r="G126" s="8"/>
      <c r="H126" s="8"/>
      <c r="I126" s="8"/>
    </row>
    <row r="127" spans="1:9" ht="30" x14ac:dyDescent="0.25">
      <c r="A127" s="4" t="s">
        <v>1173</v>
      </c>
      <c r="B127" s="4" t="s">
        <v>259</v>
      </c>
      <c r="C127" s="4" t="s">
        <v>77</v>
      </c>
      <c r="D127" s="16" t="s">
        <v>78</v>
      </c>
      <c r="E127" s="16" t="s">
        <v>79</v>
      </c>
      <c r="F127" s="16" t="s">
        <v>1188</v>
      </c>
      <c r="G127" s="8"/>
      <c r="H127" s="8"/>
      <c r="I127" s="8"/>
    </row>
    <row r="128" spans="1:9" ht="30" x14ac:dyDescent="0.25">
      <c r="A128" s="4" t="s">
        <v>1173</v>
      </c>
      <c r="B128" s="4" t="s">
        <v>259</v>
      </c>
      <c r="C128" s="4" t="s">
        <v>95</v>
      </c>
      <c r="D128" s="16" t="e">
        <f>I128&amp;".txt"</f>
        <v>#REF!</v>
      </c>
      <c r="E128" s="16" t="s">
        <v>81</v>
      </c>
      <c r="G128" s="16" t="s">
        <v>259</v>
      </c>
      <c r="H128" s="16" t="s">
        <v>59</v>
      </c>
      <c r="I128" s="16" t="e">
        <f>VLOOKUP(A128&amp;G128&amp;H128,#REF!,2,FALSE)</f>
        <v>#REF!</v>
      </c>
    </row>
    <row r="129" spans="1:9" ht="30" x14ac:dyDescent="0.25">
      <c r="A129" s="4" t="s">
        <v>1173</v>
      </c>
      <c r="B129" s="4" t="s">
        <v>259</v>
      </c>
      <c r="C129" s="4" t="s">
        <v>96</v>
      </c>
      <c r="D129" s="16" t="e">
        <f>I129&amp;".txt"</f>
        <v>#REF!</v>
      </c>
      <c r="E129" s="16" t="s">
        <v>81</v>
      </c>
      <c r="F129" s="16" t="s">
        <v>534</v>
      </c>
      <c r="G129" s="16" t="s">
        <v>1175</v>
      </c>
      <c r="H129" s="16" t="s">
        <v>1177</v>
      </c>
      <c r="I129" s="16" t="e">
        <f>VLOOKUP(A129&amp;G129&amp;H129,#REF!,2,FALSE)</f>
        <v>#REF!</v>
      </c>
    </row>
    <row r="130" spans="1:9" ht="30" x14ac:dyDescent="0.25">
      <c r="A130" s="4" t="s">
        <v>1173</v>
      </c>
      <c r="B130" s="4" t="s">
        <v>259</v>
      </c>
      <c r="C130" s="4" t="s">
        <v>96</v>
      </c>
      <c r="D130" s="16" t="e">
        <f>I130&amp;".txt"</f>
        <v>#REF!</v>
      </c>
      <c r="E130" s="16" t="s">
        <v>81</v>
      </c>
      <c r="F130" s="16" t="s">
        <v>1188</v>
      </c>
      <c r="G130" s="16" t="s">
        <v>1189</v>
      </c>
      <c r="H130" s="16" t="s">
        <v>60</v>
      </c>
      <c r="I130" s="16" t="e">
        <f>VLOOKUP(A130&amp;G130&amp;H130,#REF!,2,FALSE)</f>
        <v>#REF!</v>
      </c>
    </row>
    <row r="131" spans="1:9" x14ac:dyDescent="0.25">
      <c r="G131" s="8"/>
      <c r="H131" s="8"/>
      <c r="I131" s="8"/>
    </row>
    <row r="132" spans="1:9" ht="30" x14ac:dyDescent="0.25">
      <c r="A132" s="4" t="s">
        <v>1173</v>
      </c>
      <c r="B132" s="4" t="s">
        <v>1189</v>
      </c>
      <c r="C132" s="4" t="s">
        <v>77</v>
      </c>
      <c r="D132" s="16" t="s">
        <v>78</v>
      </c>
      <c r="E132" s="16" t="s">
        <v>79</v>
      </c>
      <c r="G132" s="8"/>
      <c r="H132" s="8"/>
      <c r="I132" s="8"/>
    </row>
    <row r="133" spans="1:9" ht="30" x14ac:dyDescent="0.25">
      <c r="A133" s="4" t="s">
        <v>1173</v>
      </c>
      <c r="B133" s="4" t="s">
        <v>1189</v>
      </c>
      <c r="C133" s="4" t="s">
        <v>77</v>
      </c>
      <c r="D133" s="16" t="s">
        <v>477</v>
      </c>
      <c r="E133" s="16" t="s">
        <v>477</v>
      </c>
      <c r="G133" s="8"/>
      <c r="H133" s="8"/>
      <c r="I133" s="8"/>
    </row>
    <row r="134" spans="1:9" ht="30" x14ac:dyDescent="0.25">
      <c r="A134" s="4" t="s">
        <v>1173</v>
      </c>
      <c r="B134" s="4" t="s">
        <v>1189</v>
      </c>
      <c r="C134" s="4" t="s">
        <v>77</v>
      </c>
      <c r="D134" s="16" t="s">
        <v>80</v>
      </c>
      <c r="E134" s="16" t="s">
        <v>81</v>
      </c>
      <c r="G134" s="8"/>
      <c r="H134" s="8"/>
      <c r="I134" s="8"/>
    </row>
    <row r="135" spans="1:9" ht="30" x14ac:dyDescent="0.25">
      <c r="A135" s="4" t="s">
        <v>1173</v>
      </c>
      <c r="B135" s="4" t="s">
        <v>1189</v>
      </c>
      <c r="C135" s="4" t="s">
        <v>77</v>
      </c>
      <c r="D135" s="16" t="s">
        <v>82</v>
      </c>
      <c r="E135" s="16" t="s">
        <v>79</v>
      </c>
      <c r="F135" s="16" t="s">
        <v>1202</v>
      </c>
      <c r="G135" s="8"/>
      <c r="H135" s="8"/>
      <c r="I135" s="8"/>
    </row>
    <row r="136" spans="1:9" ht="30" x14ac:dyDescent="0.25">
      <c r="A136" s="4" t="s">
        <v>1173</v>
      </c>
      <c r="B136" s="4" t="s">
        <v>1189</v>
      </c>
      <c r="C136" s="4" t="s">
        <v>77</v>
      </c>
      <c r="D136" s="16" t="s">
        <v>84</v>
      </c>
      <c r="E136" s="16" t="s">
        <v>81</v>
      </c>
      <c r="F136" s="16" t="s">
        <v>1202</v>
      </c>
      <c r="G136" s="8"/>
      <c r="H136" s="8"/>
      <c r="I136" s="8"/>
    </row>
    <row r="137" spans="1:9" ht="30" x14ac:dyDescent="0.25">
      <c r="A137" s="4" t="s">
        <v>1173</v>
      </c>
      <c r="B137" s="4" t="s">
        <v>1189</v>
      </c>
      <c r="C137" s="4" t="s">
        <v>77</v>
      </c>
      <c r="D137" s="16" t="s">
        <v>994</v>
      </c>
      <c r="E137" s="16" t="s">
        <v>474</v>
      </c>
      <c r="F137" s="16" t="s">
        <v>1202</v>
      </c>
      <c r="G137" s="8"/>
      <c r="H137" s="8"/>
      <c r="I137" s="8"/>
    </row>
    <row r="138" spans="1:9" ht="30" x14ac:dyDescent="0.25">
      <c r="A138" s="4" t="s">
        <v>1173</v>
      </c>
      <c r="B138" s="4" t="s">
        <v>1189</v>
      </c>
      <c r="C138" s="4" t="s">
        <v>77</v>
      </c>
      <c r="D138" s="16" t="s">
        <v>86</v>
      </c>
      <c r="E138" s="16" t="s">
        <v>87</v>
      </c>
      <c r="F138" s="16" t="s">
        <v>1202</v>
      </c>
      <c r="G138" s="8"/>
      <c r="H138" s="8"/>
      <c r="I138" s="8"/>
    </row>
    <row r="139" spans="1:9" ht="30" x14ac:dyDescent="0.25">
      <c r="A139" s="4" t="s">
        <v>1173</v>
      </c>
      <c r="B139" s="4" t="s">
        <v>1189</v>
      </c>
      <c r="C139" s="4" t="s">
        <v>77</v>
      </c>
      <c r="D139" s="16" t="s">
        <v>1190</v>
      </c>
      <c r="E139" s="16" t="s">
        <v>1190</v>
      </c>
      <c r="G139" s="8"/>
      <c r="H139" s="8"/>
      <c r="I139" s="8"/>
    </row>
    <row r="140" spans="1:9" ht="30" x14ac:dyDescent="0.25">
      <c r="A140" s="4" t="s">
        <v>1173</v>
      </c>
      <c r="B140" s="4" t="s">
        <v>1189</v>
      </c>
      <c r="C140" s="4" t="s">
        <v>77</v>
      </c>
      <c r="D140" s="16" t="s">
        <v>361</v>
      </c>
      <c r="E140" s="16" t="s">
        <v>361</v>
      </c>
      <c r="G140" s="8"/>
      <c r="H140" s="8"/>
      <c r="I140" s="8"/>
    </row>
    <row r="141" spans="1:9" ht="30" x14ac:dyDescent="0.25">
      <c r="A141" s="4" t="s">
        <v>1173</v>
      </c>
      <c r="B141" s="4" t="s">
        <v>1189</v>
      </c>
      <c r="C141" s="4" t="s">
        <v>77</v>
      </c>
      <c r="D141" s="16" t="s">
        <v>1191</v>
      </c>
      <c r="E141" s="16" t="s">
        <v>1191</v>
      </c>
      <c r="G141" s="8"/>
      <c r="H141" s="8"/>
      <c r="I141" s="8"/>
    </row>
    <row r="142" spans="1:9" ht="30" x14ac:dyDescent="0.25">
      <c r="A142" s="4" t="s">
        <v>1173</v>
      </c>
      <c r="B142" s="4" t="s">
        <v>1189</v>
      </c>
      <c r="C142" s="4" t="s">
        <v>77</v>
      </c>
      <c r="D142" s="16" t="s">
        <v>1192</v>
      </c>
      <c r="E142" s="16" t="s">
        <v>1192</v>
      </c>
      <c r="G142" s="8"/>
      <c r="H142" s="8"/>
      <c r="I142" s="8"/>
    </row>
    <row r="143" spans="1:9" ht="30" x14ac:dyDescent="0.25">
      <c r="A143" s="4" t="s">
        <v>1173</v>
      </c>
      <c r="B143" s="4" t="s">
        <v>1189</v>
      </c>
      <c r="C143" s="4" t="s">
        <v>77</v>
      </c>
      <c r="D143" s="16" t="s">
        <v>1193</v>
      </c>
      <c r="E143" s="16" t="s">
        <v>1193</v>
      </c>
      <c r="G143" s="8"/>
      <c r="H143" s="8"/>
      <c r="I143" s="8"/>
    </row>
    <row r="144" spans="1:9" ht="30" x14ac:dyDescent="0.25">
      <c r="A144" s="4" t="s">
        <v>1173</v>
      </c>
      <c r="B144" s="4" t="s">
        <v>1189</v>
      </c>
      <c r="C144" s="4" t="s">
        <v>77</v>
      </c>
      <c r="D144" s="16" t="s">
        <v>1194</v>
      </c>
      <c r="E144" s="16" t="s">
        <v>1194</v>
      </c>
      <c r="G144" s="8"/>
      <c r="H144" s="8"/>
      <c r="I144" s="8"/>
    </row>
    <row r="145" spans="1:9" ht="30" x14ac:dyDescent="0.25">
      <c r="A145" s="4" t="s">
        <v>1173</v>
      </c>
      <c r="B145" s="4" t="s">
        <v>1189</v>
      </c>
      <c r="C145" s="4" t="s">
        <v>77</v>
      </c>
      <c r="D145" s="16" t="s">
        <v>1195</v>
      </c>
      <c r="E145" s="16" t="s">
        <v>1195</v>
      </c>
      <c r="G145" s="8"/>
      <c r="H145" s="8"/>
      <c r="I145" s="8"/>
    </row>
    <row r="146" spans="1:9" ht="30" x14ac:dyDescent="0.25">
      <c r="A146" s="4" t="s">
        <v>1173</v>
      </c>
      <c r="B146" s="4" t="s">
        <v>1189</v>
      </c>
      <c r="C146" s="4" t="s">
        <v>77</v>
      </c>
      <c r="D146" s="16" t="s">
        <v>1201</v>
      </c>
      <c r="E146" s="16" t="s">
        <v>1201</v>
      </c>
      <c r="G146" s="8"/>
      <c r="H146" s="8"/>
      <c r="I146" s="8"/>
    </row>
    <row r="147" spans="1:9" ht="30" x14ac:dyDescent="0.25">
      <c r="A147" s="4" t="s">
        <v>1173</v>
      </c>
      <c r="B147" s="4" t="s">
        <v>1189</v>
      </c>
      <c r="C147" s="4" t="s">
        <v>77</v>
      </c>
      <c r="D147" s="16" t="s">
        <v>107</v>
      </c>
      <c r="E147" s="16" t="s">
        <v>107</v>
      </c>
      <c r="G147" s="8"/>
      <c r="H147" s="8"/>
      <c r="I147" s="8"/>
    </row>
    <row r="148" spans="1:9" ht="30" x14ac:dyDescent="0.25">
      <c r="A148" s="4" t="s">
        <v>1173</v>
      </c>
      <c r="B148" s="4" t="s">
        <v>1189</v>
      </c>
      <c r="C148" s="4" t="s">
        <v>77</v>
      </c>
      <c r="D148" s="16" t="s">
        <v>1196</v>
      </c>
      <c r="E148" s="16" t="s">
        <v>1196</v>
      </c>
      <c r="G148" s="8"/>
      <c r="H148" s="8"/>
      <c r="I148" s="8"/>
    </row>
    <row r="149" spans="1:9" ht="30" x14ac:dyDescent="0.25">
      <c r="A149" s="4" t="s">
        <v>1173</v>
      </c>
      <c r="B149" s="4" t="s">
        <v>1189</v>
      </c>
      <c r="C149" s="4" t="s">
        <v>77</v>
      </c>
      <c r="D149" s="16" t="s">
        <v>1197</v>
      </c>
      <c r="E149" s="16" t="s">
        <v>1197</v>
      </c>
      <c r="G149" s="8"/>
      <c r="H149" s="8"/>
      <c r="I149" s="8"/>
    </row>
    <row r="150" spans="1:9" ht="30" x14ac:dyDescent="0.25">
      <c r="A150" s="4" t="s">
        <v>1173</v>
      </c>
      <c r="B150" s="4" t="s">
        <v>1189</v>
      </c>
      <c r="C150" s="4" t="s">
        <v>77</v>
      </c>
      <c r="D150" s="16" t="s">
        <v>1198</v>
      </c>
      <c r="E150" s="16" t="s">
        <v>1198</v>
      </c>
      <c r="G150" s="8"/>
      <c r="H150" s="8"/>
      <c r="I150" s="8"/>
    </row>
    <row r="151" spans="1:9" ht="30" x14ac:dyDescent="0.25">
      <c r="A151" s="4" t="s">
        <v>1173</v>
      </c>
      <c r="B151" s="4" t="s">
        <v>1189</v>
      </c>
      <c r="C151" s="4" t="s">
        <v>77</v>
      </c>
      <c r="D151" s="16" t="s">
        <v>1199</v>
      </c>
      <c r="E151" s="16" t="s">
        <v>1199</v>
      </c>
      <c r="G151" s="8"/>
      <c r="H151" s="8"/>
      <c r="I151" s="8"/>
    </row>
    <row r="152" spans="1:9" ht="30" x14ac:dyDescent="0.25">
      <c r="A152" s="4" t="s">
        <v>1173</v>
      </c>
      <c r="B152" s="4" t="s">
        <v>1189</v>
      </c>
      <c r="C152" s="4" t="s">
        <v>77</v>
      </c>
      <c r="D152" s="16" t="s">
        <v>1200</v>
      </c>
      <c r="E152" s="16" t="s">
        <v>1200</v>
      </c>
      <c r="G152" s="8"/>
      <c r="H152" s="8"/>
      <c r="I152" s="8"/>
    </row>
    <row r="153" spans="1:9" ht="30" x14ac:dyDescent="0.25">
      <c r="A153" s="4" t="s">
        <v>1173</v>
      </c>
      <c r="B153" s="4" t="s">
        <v>1189</v>
      </c>
      <c r="C153" s="4" t="s">
        <v>95</v>
      </c>
      <c r="D153" s="16" t="e">
        <f>I153&amp;".txt"</f>
        <v>#REF!</v>
      </c>
      <c r="E153" s="16"/>
      <c r="G153" s="16" t="s">
        <v>1189</v>
      </c>
      <c r="H153" s="16" t="s">
        <v>422</v>
      </c>
      <c r="I153" s="16" t="e">
        <f>VLOOKUP(A153&amp;G153&amp;H153,#REF!,2,FALSE)</f>
        <v>#REF!</v>
      </c>
    </row>
    <row r="154" spans="1:9" ht="30" x14ac:dyDescent="0.25">
      <c r="A154" s="4" t="s">
        <v>1173</v>
      </c>
      <c r="B154" s="4" t="s">
        <v>1189</v>
      </c>
      <c r="C154" s="4" t="s">
        <v>96</v>
      </c>
      <c r="D154" s="16" t="e">
        <f>I154&amp;".txt"</f>
        <v>#REF!</v>
      </c>
      <c r="E154" s="16" t="s">
        <v>81</v>
      </c>
      <c r="F154" s="16" t="s">
        <v>1202</v>
      </c>
      <c r="G154" s="16" t="s">
        <v>259</v>
      </c>
      <c r="H154" s="16" t="s">
        <v>1182</v>
      </c>
      <c r="I154" s="16" t="e">
        <f>VLOOKUP(A154&amp;G154&amp;H154,#REF!,2,FALSE)</f>
        <v>#REF!</v>
      </c>
    </row>
    <row r="155" spans="1:9" x14ac:dyDescent="0.25">
      <c r="G155" s="8"/>
      <c r="H155" s="8"/>
      <c r="I155" s="8"/>
    </row>
    <row r="156" spans="1:9" ht="30" x14ac:dyDescent="0.25">
      <c r="A156" s="4" t="s">
        <v>1173</v>
      </c>
      <c r="B156" s="4" t="s">
        <v>259</v>
      </c>
      <c r="C156" s="4" t="s">
        <v>77</v>
      </c>
      <c r="D156" s="16" t="s">
        <v>84</v>
      </c>
      <c r="E156" s="16" t="s">
        <v>81</v>
      </c>
      <c r="G156" s="8"/>
      <c r="H156" s="8"/>
      <c r="I156" s="8"/>
    </row>
    <row r="157" spans="1:9" ht="30" x14ac:dyDescent="0.25">
      <c r="A157" s="4" t="s">
        <v>1173</v>
      </c>
      <c r="B157" s="4" t="s">
        <v>259</v>
      </c>
      <c r="C157" s="4" t="s">
        <v>77</v>
      </c>
      <c r="D157" s="16" t="s">
        <v>82</v>
      </c>
      <c r="E157" s="16" t="s">
        <v>79</v>
      </c>
      <c r="G157" s="8"/>
      <c r="H157" s="8"/>
      <c r="I157" s="8"/>
    </row>
    <row r="158" spans="1:9" ht="30" x14ac:dyDescent="0.25">
      <c r="A158" s="4" t="s">
        <v>1173</v>
      </c>
      <c r="B158" s="4" t="s">
        <v>259</v>
      </c>
      <c r="C158" s="4" t="s">
        <v>77</v>
      </c>
      <c r="D158" s="16" t="s">
        <v>85</v>
      </c>
      <c r="E158" s="16" t="s">
        <v>85</v>
      </c>
      <c r="G158" s="8"/>
      <c r="H158" s="8"/>
      <c r="I158" s="8"/>
    </row>
    <row r="159" spans="1:9" ht="30" x14ac:dyDescent="0.25">
      <c r="A159" s="4" t="s">
        <v>1173</v>
      </c>
      <c r="B159" s="4" t="s">
        <v>259</v>
      </c>
      <c r="C159" s="4" t="s">
        <v>77</v>
      </c>
      <c r="D159" s="16" t="s">
        <v>86</v>
      </c>
      <c r="E159" s="16" t="s">
        <v>87</v>
      </c>
      <c r="G159" s="8"/>
      <c r="H159" s="8"/>
      <c r="I159" s="8"/>
    </row>
    <row r="160" spans="1:9" ht="30" x14ac:dyDescent="0.25">
      <c r="A160" s="4" t="s">
        <v>1173</v>
      </c>
      <c r="B160" s="4" t="s">
        <v>259</v>
      </c>
      <c r="C160" s="4" t="s">
        <v>77</v>
      </c>
      <c r="D160" s="16" t="s">
        <v>88</v>
      </c>
      <c r="E160" s="16" t="s">
        <v>88</v>
      </c>
      <c r="G160" s="8"/>
      <c r="H160" s="8"/>
      <c r="I160" s="8"/>
    </row>
    <row r="161" spans="1:9" ht="30" x14ac:dyDescent="0.25">
      <c r="A161" s="4" t="s">
        <v>1173</v>
      </c>
      <c r="B161" s="4" t="s">
        <v>259</v>
      </c>
      <c r="C161" s="4" t="s">
        <v>77</v>
      </c>
      <c r="D161" s="16" t="s">
        <v>97</v>
      </c>
      <c r="E161" s="16" t="s">
        <v>98</v>
      </c>
      <c r="G161" s="8"/>
      <c r="H161" s="8"/>
      <c r="I161" s="8"/>
    </row>
    <row r="162" spans="1:9" ht="30" x14ac:dyDescent="0.25">
      <c r="A162" s="4" t="s">
        <v>1173</v>
      </c>
      <c r="B162" s="4" t="s">
        <v>259</v>
      </c>
      <c r="C162" s="4" t="s">
        <v>77</v>
      </c>
      <c r="D162" s="16" t="s">
        <v>99</v>
      </c>
      <c r="E162" s="16" t="s">
        <v>99</v>
      </c>
      <c r="G162" s="8"/>
      <c r="H162" s="8"/>
      <c r="I162" s="8"/>
    </row>
    <row r="163" spans="1:9" ht="30" x14ac:dyDescent="0.25">
      <c r="A163" s="4" t="s">
        <v>1173</v>
      </c>
      <c r="B163" s="4" t="s">
        <v>259</v>
      </c>
      <c r="C163" s="4" t="s">
        <v>77</v>
      </c>
      <c r="D163" s="16" t="s">
        <v>100</v>
      </c>
      <c r="E163" s="16" t="s">
        <v>101</v>
      </c>
      <c r="G163" s="8"/>
      <c r="H163" s="8"/>
      <c r="I163" s="8"/>
    </row>
    <row r="164" spans="1:9" ht="30" x14ac:dyDescent="0.25">
      <c r="A164" s="4" t="s">
        <v>1173</v>
      </c>
      <c r="B164" s="4" t="s">
        <v>259</v>
      </c>
      <c r="C164" s="4" t="s">
        <v>77</v>
      </c>
      <c r="D164" s="16" t="s">
        <v>1176</v>
      </c>
      <c r="E164" s="16" t="s">
        <v>1176</v>
      </c>
      <c r="G164" s="8"/>
      <c r="H164" s="8"/>
      <c r="I164" s="8"/>
    </row>
    <row r="165" spans="1:9" ht="30" x14ac:dyDescent="0.25">
      <c r="A165" s="4" t="s">
        <v>1173</v>
      </c>
      <c r="B165" s="4" t="s">
        <v>259</v>
      </c>
      <c r="C165" s="4" t="s">
        <v>77</v>
      </c>
      <c r="D165" s="16" t="s">
        <v>25</v>
      </c>
      <c r="E165" s="16" t="s">
        <v>333</v>
      </c>
      <c r="G165" s="8"/>
      <c r="H165" s="8"/>
      <c r="I165" s="8"/>
    </row>
    <row r="166" spans="1:9" ht="30" x14ac:dyDescent="0.25">
      <c r="A166" s="4" t="s">
        <v>1173</v>
      </c>
      <c r="B166" s="4" t="s">
        <v>259</v>
      </c>
      <c r="C166" s="4" t="s">
        <v>77</v>
      </c>
      <c r="D166" s="16" t="s">
        <v>103</v>
      </c>
      <c r="E166" s="16" t="s">
        <v>335</v>
      </c>
      <c r="G166" s="8"/>
      <c r="H166" s="8"/>
      <c r="I166" s="8"/>
    </row>
    <row r="167" spans="1:9" ht="30" x14ac:dyDescent="0.25">
      <c r="A167" s="4" t="s">
        <v>1173</v>
      </c>
      <c r="B167" s="4" t="s">
        <v>259</v>
      </c>
      <c r="C167" s="4" t="s">
        <v>77</v>
      </c>
      <c r="D167" s="16" t="s">
        <v>1179</v>
      </c>
      <c r="E167" s="16" t="s">
        <v>81</v>
      </c>
      <c r="F167" s="16" t="s">
        <v>1178</v>
      </c>
      <c r="G167" s="8"/>
      <c r="H167" s="8"/>
      <c r="I167" s="8"/>
    </row>
    <row r="168" spans="1:9" ht="30" x14ac:dyDescent="0.25">
      <c r="A168" s="4" t="s">
        <v>1173</v>
      </c>
      <c r="B168" s="4" t="s">
        <v>259</v>
      </c>
      <c r="C168" s="4" t="s">
        <v>77</v>
      </c>
      <c r="D168" s="16" t="s">
        <v>105</v>
      </c>
      <c r="E168" s="16" t="s">
        <v>105</v>
      </c>
      <c r="G168" s="8"/>
      <c r="H168" s="8"/>
      <c r="I168" s="8"/>
    </row>
    <row r="169" spans="1:9" ht="30" x14ac:dyDescent="0.25">
      <c r="A169" s="4" t="s">
        <v>1173</v>
      </c>
      <c r="B169" s="4" t="s">
        <v>259</v>
      </c>
      <c r="C169" s="4" t="s">
        <v>95</v>
      </c>
      <c r="D169" s="16" t="e">
        <f>I169&amp;".txt"</f>
        <v>#REF!</v>
      </c>
      <c r="E169" s="16" t="s">
        <v>81</v>
      </c>
      <c r="G169" s="16" t="s">
        <v>1175</v>
      </c>
      <c r="H169" s="16" t="s">
        <v>1177</v>
      </c>
      <c r="I169" s="16" t="e">
        <f>VLOOKUP(A169&amp;G169&amp;H169,#REF!,2,FALSE)</f>
        <v>#REF!</v>
      </c>
    </row>
    <row r="170" spans="1:9" ht="30" x14ac:dyDescent="0.25">
      <c r="A170" s="4" t="s">
        <v>1300</v>
      </c>
      <c r="B170" s="4" t="s">
        <v>259</v>
      </c>
      <c r="C170" s="4" t="s">
        <v>96</v>
      </c>
      <c r="D170" s="16" t="e">
        <f>I170&amp;".txt"</f>
        <v>#REF!</v>
      </c>
      <c r="E170" s="16" t="s">
        <v>81</v>
      </c>
      <c r="F170" s="16" t="s">
        <v>1178</v>
      </c>
      <c r="G170" s="16" t="s">
        <v>1189</v>
      </c>
      <c r="H170" s="16" t="s">
        <v>60</v>
      </c>
      <c r="I170" s="16" t="e">
        <f>VLOOKUP(A170&amp;G170&amp;H170,#REF!,2,FALSE)</f>
        <v>#REF!</v>
      </c>
    </row>
    <row r="171" spans="1:9" x14ac:dyDescent="0.25">
      <c r="G171" s="8"/>
      <c r="H171" s="8"/>
      <c r="I171" s="8"/>
    </row>
    <row r="172" spans="1:9" x14ac:dyDescent="0.25">
      <c r="A172" s="4" t="s">
        <v>1169</v>
      </c>
      <c r="B172" s="4" t="s">
        <v>259</v>
      </c>
      <c r="C172" s="4" t="s">
        <v>77</v>
      </c>
      <c r="D172" s="16" t="s">
        <v>82</v>
      </c>
      <c r="E172" s="16" t="s">
        <v>79</v>
      </c>
      <c r="G172" s="8"/>
      <c r="H172" s="8"/>
      <c r="I172" s="8"/>
    </row>
    <row r="173" spans="1:9" x14ac:dyDescent="0.25">
      <c r="A173" s="4" t="s">
        <v>1169</v>
      </c>
      <c r="B173" s="4" t="s">
        <v>259</v>
      </c>
      <c r="C173" s="4" t="s">
        <v>77</v>
      </c>
      <c r="D173" s="16" t="s">
        <v>81</v>
      </c>
      <c r="E173" s="16" t="s">
        <v>81</v>
      </c>
      <c r="G173" s="8"/>
      <c r="H173" s="8"/>
      <c r="I173" s="8"/>
    </row>
    <row r="174" spans="1:9" x14ac:dyDescent="0.25">
      <c r="A174" s="4" t="s">
        <v>1169</v>
      </c>
      <c r="B174" s="4" t="s">
        <v>259</v>
      </c>
      <c r="C174" s="4" t="s">
        <v>77</v>
      </c>
      <c r="D174" s="16" t="s">
        <v>381</v>
      </c>
      <c r="E174" s="16" t="s">
        <v>381</v>
      </c>
      <c r="G174" s="8"/>
      <c r="H174" s="8"/>
      <c r="I174" s="8"/>
    </row>
    <row r="175" spans="1:9" x14ac:dyDescent="0.25">
      <c r="A175" s="4" t="s">
        <v>1169</v>
      </c>
      <c r="B175" s="4" t="s">
        <v>259</v>
      </c>
      <c r="C175" s="4" t="s">
        <v>77</v>
      </c>
      <c r="D175" s="16" t="s">
        <v>1301</v>
      </c>
      <c r="E175" s="16" t="s">
        <v>87</v>
      </c>
      <c r="G175" s="8"/>
      <c r="H175" s="8"/>
      <c r="I175" s="8"/>
    </row>
    <row r="176" spans="1:9" x14ac:dyDescent="0.25">
      <c r="A176" s="4" t="s">
        <v>1169</v>
      </c>
      <c r="B176" s="4" t="s">
        <v>259</v>
      </c>
      <c r="C176" s="4" t="s">
        <v>77</v>
      </c>
      <c r="D176" s="16" t="s">
        <v>1188</v>
      </c>
      <c r="E176" s="16" t="s">
        <v>81</v>
      </c>
      <c r="F176" s="16" t="s">
        <v>1188</v>
      </c>
      <c r="G176" s="8"/>
      <c r="H176" s="8"/>
      <c r="I176" s="8"/>
    </row>
    <row r="177" spans="1:9" ht="30" x14ac:dyDescent="0.25">
      <c r="A177" s="4" t="s">
        <v>1169</v>
      </c>
      <c r="B177" s="4" t="s">
        <v>259</v>
      </c>
      <c r="C177" s="4" t="s">
        <v>95</v>
      </c>
      <c r="D177" s="16" t="e">
        <f>I177&amp;".txt"</f>
        <v>#REF!</v>
      </c>
      <c r="E177" s="16" t="s">
        <v>81</v>
      </c>
      <c r="G177" s="16" t="s">
        <v>1175</v>
      </c>
      <c r="H177" s="16" t="s">
        <v>1177</v>
      </c>
      <c r="I177" s="16" t="e">
        <f>VLOOKUP(A177&amp;G177&amp;H177,#REF!,2,FALSE)</f>
        <v>#REF!</v>
      </c>
    </row>
    <row r="178" spans="1:9" ht="30" x14ac:dyDescent="0.25">
      <c r="A178" s="4" t="s">
        <v>1302</v>
      </c>
      <c r="B178" s="4" t="s">
        <v>259</v>
      </c>
      <c r="C178" s="4" t="s">
        <v>96</v>
      </c>
      <c r="D178" s="16" t="e">
        <f>I178&amp;".txt"</f>
        <v>#REF!</v>
      </c>
      <c r="E178" s="16" t="s">
        <v>81</v>
      </c>
      <c r="F178" s="16" t="s">
        <v>1188</v>
      </c>
      <c r="G178" s="16" t="s">
        <v>1189</v>
      </c>
      <c r="H178" s="16" t="s">
        <v>60</v>
      </c>
      <c r="I178" s="16" t="e">
        <f>VLOOKUP(A178&amp;G178&amp;H178,#REF!,2,FALSE)</f>
        <v>#REF!</v>
      </c>
    </row>
    <row r="179" spans="1:9" x14ac:dyDescent="0.25">
      <c r="G179" s="8"/>
      <c r="H179" s="8"/>
      <c r="I179" s="8"/>
    </row>
    <row r="180" spans="1:9" x14ac:dyDescent="0.25">
      <c r="A180" s="4" t="s">
        <v>1169</v>
      </c>
      <c r="B180" s="4" t="s">
        <v>1209</v>
      </c>
      <c r="C180" s="4" t="s">
        <v>77</v>
      </c>
      <c r="D180" s="22" t="s">
        <v>997</v>
      </c>
      <c r="E180" s="22" t="s">
        <v>203</v>
      </c>
      <c r="F180" s="16"/>
      <c r="G180" s="8"/>
      <c r="H180" s="8"/>
      <c r="I180" s="8"/>
    </row>
    <row r="181" spans="1:9" x14ac:dyDescent="0.25">
      <c r="A181" s="4" t="s">
        <v>1169</v>
      </c>
      <c r="B181" s="4" t="s">
        <v>1209</v>
      </c>
      <c r="C181" s="4" t="s">
        <v>77</v>
      </c>
      <c r="D181" s="22" t="s">
        <v>905</v>
      </c>
      <c r="E181" s="22" t="s">
        <v>203</v>
      </c>
      <c r="F181" s="16"/>
      <c r="G181" s="8"/>
      <c r="H181" s="8"/>
      <c r="I181" s="8"/>
    </row>
    <row r="182" spans="1:9" x14ac:dyDescent="0.25">
      <c r="A182" s="4" t="s">
        <v>1169</v>
      </c>
      <c r="B182" s="4" t="s">
        <v>1209</v>
      </c>
      <c r="C182" s="4" t="s">
        <v>77</v>
      </c>
      <c r="D182" s="22" t="s">
        <v>998</v>
      </c>
      <c r="E182" s="22" t="s">
        <v>203</v>
      </c>
      <c r="F182" s="16"/>
      <c r="G182" s="8"/>
      <c r="H182" s="8"/>
      <c r="I182" s="8"/>
    </row>
    <row r="183" spans="1:9" x14ac:dyDescent="0.25">
      <c r="A183" s="4" t="s">
        <v>1169</v>
      </c>
      <c r="B183" s="4" t="s">
        <v>1209</v>
      </c>
      <c r="C183" s="4" t="s">
        <v>77</v>
      </c>
      <c r="D183" s="22" t="s">
        <v>906</v>
      </c>
      <c r="E183" s="22" t="s">
        <v>203</v>
      </c>
      <c r="F183" s="16"/>
      <c r="G183" s="8"/>
      <c r="H183" s="8"/>
      <c r="I183" s="8"/>
    </row>
    <row r="184" spans="1:9" x14ac:dyDescent="0.25">
      <c r="A184" s="4" t="s">
        <v>1169</v>
      </c>
      <c r="B184" s="4" t="s">
        <v>1209</v>
      </c>
      <c r="C184" s="4" t="s">
        <v>77</v>
      </c>
      <c r="D184" s="22" t="s">
        <v>907</v>
      </c>
      <c r="E184" s="22" t="s">
        <v>203</v>
      </c>
      <c r="F184" s="16"/>
      <c r="G184" s="8"/>
      <c r="H184" s="8"/>
      <c r="I184" s="8"/>
    </row>
    <row r="185" spans="1:9" x14ac:dyDescent="0.25">
      <c r="A185" s="4" t="s">
        <v>1169</v>
      </c>
      <c r="B185" s="4" t="s">
        <v>1209</v>
      </c>
      <c r="C185" s="4" t="s">
        <v>77</v>
      </c>
      <c r="D185" s="22" t="s">
        <v>999</v>
      </c>
      <c r="E185" s="22" t="s">
        <v>203</v>
      </c>
      <c r="F185" s="16"/>
      <c r="G185" s="8"/>
      <c r="H185" s="8"/>
      <c r="I185" s="8"/>
    </row>
    <row r="186" spans="1:9" x14ac:dyDescent="0.25">
      <c r="A186" s="4" t="s">
        <v>1169</v>
      </c>
      <c r="B186" s="4" t="s">
        <v>1209</v>
      </c>
      <c r="C186" s="4" t="s">
        <v>77</v>
      </c>
      <c r="D186" s="22" t="s">
        <v>908</v>
      </c>
      <c r="E186" s="22" t="s">
        <v>203</v>
      </c>
      <c r="F186" s="16"/>
      <c r="G186" s="8"/>
      <c r="H186" s="8"/>
      <c r="I186" s="8"/>
    </row>
    <row r="187" spans="1:9" x14ac:dyDescent="0.25">
      <c r="A187" s="4" t="s">
        <v>1169</v>
      </c>
      <c r="B187" s="4" t="s">
        <v>1209</v>
      </c>
      <c r="C187" s="4" t="s">
        <v>77</v>
      </c>
      <c r="D187" s="22" t="s">
        <v>1000</v>
      </c>
      <c r="E187" s="22" t="s">
        <v>203</v>
      </c>
      <c r="F187" s="16"/>
      <c r="G187" s="8"/>
      <c r="H187" s="8"/>
      <c r="I187" s="8"/>
    </row>
    <row r="188" spans="1:9" x14ac:dyDescent="0.25">
      <c r="A188" s="4" t="s">
        <v>1169</v>
      </c>
      <c r="B188" s="4" t="s">
        <v>1209</v>
      </c>
      <c r="C188" s="4" t="s">
        <v>77</v>
      </c>
      <c r="D188" s="22" t="s">
        <v>900</v>
      </c>
      <c r="E188" s="22" t="s">
        <v>203</v>
      </c>
      <c r="F188" s="16"/>
      <c r="G188" s="8"/>
      <c r="H188" s="8"/>
      <c r="I188" s="8"/>
    </row>
    <row r="189" spans="1:9" x14ac:dyDescent="0.25">
      <c r="A189" s="4" t="s">
        <v>1169</v>
      </c>
      <c r="B189" s="4" t="s">
        <v>1209</v>
      </c>
      <c r="C189" s="4" t="s">
        <v>77</v>
      </c>
      <c r="D189" s="22" t="s">
        <v>1001</v>
      </c>
      <c r="E189" s="22" t="s">
        <v>203</v>
      </c>
      <c r="F189" s="16"/>
      <c r="G189" s="8"/>
      <c r="H189" s="8"/>
      <c r="I189" s="8"/>
    </row>
    <row r="190" spans="1:9" x14ac:dyDescent="0.25">
      <c r="A190" s="4" t="s">
        <v>1169</v>
      </c>
      <c r="B190" s="4" t="s">
        <v>1209</v>
      </c>
      <c r="C190" s="4" t="s">
        <v>77</v>
      </c>
      <c r="D190" s="22" t="s">
        <v>1002</v>
      </c>
      <c r="E190" s="22" t="s">
        <v>203</v>
      </c>
      <c r="F190" s="16"/>
      <c r="G190" s="8"/>
      <c r="H190" s="8"/>
      <c r="I190" s="8"/>
    </row>
    <row r="191" spans="1:9" x14ac:dyDescent="0.25">
      <c r="A191" s="4" t="s">
        <v>1169</v>
      </c>
      <c r="B191" s="4" t="s">
        <v>1209</v>
      </c>
      <c r="C191" s="4" t="s">
        <v>77</v>
      </c>
      <c r="D191" s="16" t="s">
        <v>78</v>
      </c>
      <c r="E191" s="16" t="s">
        <v>79</v>
      </c>
      <c r="F191" s="16"/>
      <c r="G191" s="8"/>
      <c r="H191" s="8"/>
      <c r="I191" s="8"/>
    </row>
    <row r="192" spans="1:9" x14ac:dyDescent="0.25">
      <c r="A192" s="4" t="s">
        <v>1169</v>
      </c>
      <c r="B192" s="4" t="s">
        <v>1209</v>
      </c>
      <c r="C192" s="4" t="s">
        <v>77</v>
      </c>
      <c r="D192" s="16" t="s">
        <v>477</v>
      </c>
      <c r="E192" s="16" t="s">
        <v>477</v>
      </c>
      <c r="F192" s="16"/>
      <c r="G192" s="8"/>
      <c r="H192" s="8"/>
      <c r="I192" s="8"/>
    </row>
    <row r="193" spans="1:10" x14ac:dyDescent="0.25">
      <c r="A193" s="4" t="s">
        <v>1169</v>
      </c>
      <c r="B193" s="4" t="s">
        <v>1209</v>
      </c>
      <c r="C193" s="4" t="s">
        <v>77</v>
      </c>
      <c r="D193" s="16" t="s">
        <v>1329</v>
      </c>
      <c r="E193" s="16" t="s">
        <v>81</v>
      </c>
      <c r="F193" s="16" t="s">
        <v>534</v>
      </c>
      <c r="G193" s="8"/>
      <c r="H193" s="8"/>
      <c r="I193" s="8"/>
    </row>
    <row r="194" spans="1:10" x14ac:dyDescent="0.25">
      <c r="A194" s="4" t="s">
        <v>1169</v>
      </c>
      <c r="B194" s="4" t="s">
        <v>1209</v>
      </c>
      <c r="C194" s="4" t="s">
        <v>77</v>
      </c>
      <c r="D194" s="16" t="s">
        <v>1407</v>
      </c>
      <c r="E194" s="16" t="s">
        <v>79</v>
      </c>
      <c r="F194" s="16" t="s">
        <v>534</v>
      </c>
      <c r="G194" s="8"/>
      <c r="H194" s="8"/>
      <c r="I194" s="8"/>
    </row>
    <row r="195" spans="1:10" x14ac:dyDescent="0.25">
      <c r="A195" s="4" t="s">
        <v>1169</v>
      </c>
      <c r="B195" s="4" t="s">
        <v>1209</v>
      </c>
      <c r="C195" s="4" t="s">
        <v>77</v>
      </c>
      <c r="D195" s="16" t="s">
        <v>80</v>
      </c>
      <c r="E195" s="16" t="s">
        <v>81</v>
      </c>
      <c r="F195" s="16"/>
      <c r="G195" s="8"/>
      <c r="H195" s="8"/>
      <c r="I195" s="8"/>
    </row>
    <row r="196" spans="1:10" x14ac:dyDescent="0.25">
      <c r="A196" s="4" t="s">
        <v>1169</v>
      </c>
      <c r="B196" s="4" t="s">
        <v>1209</v>
      </c>
      <c r="C196" s="4" t="s">
        <v>77</v>
      </c>
      <c r="D196" s="16" t="s">
        <v>1408</v>
      </c>
      <c r="E196" s="16" t="s">
        <v>79</v>
      </c>
      <c r="F196" s="16" t="s">
        <v>1202</v>
      </c>
      <c r="G196" s="8"/>
      <c r="H196" s="8"/>
      <c r="I196" s="8"/>
    </row>
    <row r="197" spans="1:10" x14ac:dyDescent="0.25">
      <c r="A197" s="4" t="s">
        <v>1169</v>
      </c>
      <c r="B197" s="4" t="s">
        <v>1209</v>
      </c>
      <c r="C197" s="4" t="s">
        <v>77</v>
      </c>
      <c r="D197" s="16" t="s">
        <v>1409</v>
      </c>
      <c r="E197" s="16" t="s">
        <v>81</v>
      </c>
      <c r="F197" s="16" t="s">
        <v>1202</v>
      </c>
      <c r="H197" s="8"/>
      <c r="I197" s="8"/>
    </row>
    <row r="198" spans="1:10" x14ac:dyDescent="0.25">
      <c r="A198" s="4" t="s">
        <v>1169</v>
      </c>
      <c r="B198" s="4" t="s">
        <v>1209</v>
      </c>
      <c r="C198" s="4" t="s">
        <v>77</v>
      </c>
      <c r="D198" s="16" t="s">
        <v>994</v>
      </c>
      <c r="E198" s="16" t="s">
        <v>1405</v>
      </c>
      <c r="F198" s="16" t="s">
        <v>1202</v>
      </c>
      <c r="G198" s="8"/>
      <c r="H198" s="8"/>
      <c r="I198" s="8"/>
    </row>
    <row r="199" spans="1:10" x14ac:dyDescent="0.25">
      <c r="A199" s="4" t="s">
        <v>1169</v>
      </c>
      <c r="B199" s="4" t="s">
        <v>1209</v>
      </c>
      <c r="C199" s="4" t="s">
        <v>77</v>
      </c>
      <c r="D199" s="16" t="s">
        <v>86</v>
      </c>
      <c r="E199" s="16" t="s">
        <v>87</v>
      </c>
      <c r="F199" s="16" t="s">
        <v>1202</v>
      </c>
      <c r="G199" s="8"/>
      <c r="H199" s="8"/>
      <c r="I199" s="8"/>
      <c r="J199" t="b">
        <v>1</v>
      </c>
    </row>
    <row r="200" spans="1:10" x14ac:dyDescent="0.25">
      <c r="A200" s="4" t="s">
        <v>1169</v>
      </c>
      <c r="B200" s="4" t="s">
        <v>1209</v>
      </c>
      <c r="C200" s="4" t="s">
        <v>77</v>
      </c>
      <c r="D200" s="16" t="s">
        <v>88</v>
      </c>
      <c r="E200" s="16" t="s">
        <v>88</v>
      </c>
      <c r="F200" s="16" t="s">
        <v>1202</v>
      </c>
      <c r="G200" s="8"/>
      <c r="H200" s="8"/>
      <c r="I200" s="8"/>
    </row>
    <row r="201" spans="1:10" x14ac:dyDescent="0.25">
      <c r="A201" s="4" t="s">
        <v>1169</v>
      </c>
      <c r="B201" s="4" t="s">
        <v>1209</v>
      </c>
      <c r="C201" s="4" t="s">
        <v>77</v>
      </c>
      <c r="D201" s="16" t="s">
        <v>99</v>
      </c>
      <c r="E201" s="16" t="s">
        <v>99</v>
      </c>
      <c r="F201" s="16" t="s">
        <v>1202</v>
      </c>
      <c r="G201" s="8"/>
      <c r="H201" s="8"/>
      <c r="I201" s="8"/>
    </row>
    <row r="202" spans="1:10" x14ac:dyDescent="0.25">
      <c r="A202" s="4" t="s">
        <v>1169</v>
      </c>
      <c r="B202" s="4" t="s">
        <v>1209</v>
      </c>
      <c r="C202" s="4" t="s">
        <v>77</v>
      </c>
      <c r="D202" s="16" t="s">
        <v>25</v>
      </c>
      <c r="E202" s="16" t="s">
        <v>333</v>
      </c>
      <c r="F202" s="16" t="s">
        <v>1202</v>
      </c>
      <c r="G202" s="8"/>
      <c r="H202" s="8"/>
      <c r="I202" s="8"/>
    </row>
    <row r="203" spans="1:10" x14ac:dyDescent="0.25">
      <c r="A203" s="4" t="s">
        <v>1169</v>
      </c>
      <c r="B203" s="4" t="s">
        <v>1209</v>
      </c>
      <c r="C203" s="4" t="s">
        <v>77</v>
      </c>
      <c r="D203" s="16" t="s">
        <v>89</v>
      </c>
      <c r="E203" s="16" t="s">
        <v>89</v>
      </c>
      <c r="F203" s="16"/>
      <c r="G203" s="8"/>
      <c r="H203" s="8"/>
      <c r="I203" s="8"/>
    </row>
    <row r="204" spans="1:10" x14ac:dyDescent="0.25">
      <c r="A204" s="4" t="s">
        <v>1169</v>
      </c>
      <c r="B204" s="4" t="s">
        <v>1209</v>
      </c>
      <c r="C204" s="4" t="s">
        <v>77</v>
      </c>
      <c r="D204" s="16" t="s">
        <v>90</v>
      </c>
      <c r="E204" s="16" t="s">
        <v>90</v>
      </c>
      <c r="F204" s="16"/>
      <c r="G204" s="8"/>
      <c r="H204" s="8"/>
      <c r="I204" s="8"/>
    </row>
    <row r="205" spans="1:10" x14ac:dyDescent="0.25">
      <c r="A205" s="4" t="s">
        <v>1169</v>
      </c>
      <c r="B205" s="4" t="s">
        <v>1209</v>
      </c>
      <c r="C205" s="4" t="s">
        <v>77</v>
      </c>
      <c r="D205" s="16" t="s">
        <v>93</v>
      </c>
      <c r="E205" s="16" t="s">
        <v>93</v>
      </c>
      <c r="F205" s="16"/>
      <c r="G205" s="8"/>
      <c r="H205" s="8"/>
      <c r="I205" s="8"/>
    </row>
    <row r="206" spans="1:10" x14ac:dyDescent="0.25">
      <c r="A206" s="4" t="s">
        <v>1169</v>
      </c>
      <c r="B206" s="4" t="s">
        <v>1209</v>
      </c>
      <c r="C206" s="4" t="s">
        <v>77</v>
      </c>
      <c r="D206" s="16" t="s">
        <v>94</v>
      </c>
      <c r="E206" s="16" t="s">
        <v>94</v>
      </c>
      <c r="F206" s="16"/>
      <c r="G206" s="8"/>
      <c r="H206" s="8"/>
      <c r="I206" s="8"/>
    </row>
    <row r="207" spans="1:10" x14ac:dyDescent="0.25">
      <c r="A207" s="4" t="s">
        <v>1169</v>
      </c>
      <c r="B207" s="4" t="s">
        <v>1209</v>
      </c>
      <c r="C207" s="4" t="s">
        <v>95</v>
      </c>
      <c r="D207" s="16" t="e">
        <f>I207&amp;".txt"</f>
        <v>#REF!</v>
      </c>
      <c r="E207" s="3"/>
      <c r="F207" s="3"/>
      <c r="G207" s="16" t="s">
        <v>1189</v>
      </c>
      <c r="H207" s="16" t="s">
        <v>422</v>
      </c>
      <c r="I207" s="16" t="e">
        <f>VLOOKUP(A207&amp;G207&amp;H207,#REF!,2,FALSE)</f>
        <v>#REF!</v>
      </c>
    </row>
    <row r="208" spans="1:10" ht="30" x14ac:dyDescent="0.25">
      <c r="A208" s="4" t="s">
        <v>1169</v>
      </c>
      <c r="B208" s="4" t="s">
        <v>1209</v>
      </c>
      <c r="C208" s="4" t="s">
        <v>96</v>
      </c>
      <c r="D208" s="16" t="e">
        <f>I208&amp;".txt"</f>
        <v>#REF!</v>
      </c>
      <c r="E208" s="16" t="s">
        <v>81</v>
      </c>
      <c r="F208" s="16" t="s">
        <v>1202</v>
      </c>
      <c r="G208" s="16" t="s">
        <v>259</v>
      </c>
      <c r="H208" s="16" t="s">
        <v>59</v>
      </c>
      <c r="I208" s="16" t="e">
        <f>VLOOKUP(A208&amp;G208&amp;H208,#REF!,2,FALSE)</f>
        <v>#REF!</v>
      </c>
    </row>
    <row r="209" spans="1:9" x14ac:dyDescent="0.25">
      <c r="A209" s="37"/>
      <c r="B209" s="37"/>
      <c r="C209" s="37"/>
      <c r="D209" s="37"/>
      <c r="E209" s="37"/>
      <c r="F209" s="37"/>
      <c r="G209" s="8"/>
      <c r="H209" s="8"/>
      <c r="I209" s="8"/>
    </row>
    <row r="210" spans="1:9" x14ac:dyDescent="0.25">
      <c r="G210" s="8"/>
      <c r="H210" s="8"/>
      <c r="I210" s="8"/>
    </row>
    <row r="211" spans="1:9" x14ac:dyDescent="0.25">
      <c r="A211" s="4" t="s">
        <v>350</v>
      </c>
      <c r="B211" s="4" t="s">
        <v>259</v>
      </c>
      <c r="C211" s="4" t="s">
        <v>77</v>
      </c>
      <c r="D211" s="16" t="s">
        <v>90</v>
      </c>
      <c r="E211" s="16" t="s">
        <v>992</v>
      </c>
      <c r="F211" s="16" t="s">
        <v>104</v>
      </c>
      <c r="G211" s="8"/>
      <c r="H211" s="8"/>
      <c r="I211" s="8"/>
    </row>
    <row r="212" spans="1:9" x14ac:dyDescent="0.25">
      <c r="A212" s="4" t="s">
        <v>350</v>
      </c>
      <c r="B212" s="4" t="s">
        <v>259</v>
      </c>
      <c r="C212" s="4" t="s">
        <v>77</v>
      </c>
      <c r="D212" s="16" t="s">
        <v>90</v>
      </c>
      <c r="E212" s="16" t="s">
        <v>407</v>
      </c>
      <c r="F212" s="16" t="s">
        <v>204</v>
      </c>
      <c r="G212" s="8"/>
      <c r="H212" s="8"/>
      <c r="I212" s="8"/>
    </row>
    <row r="213" spans="1:9" x14ac:dyDescent="0.25">
      <c r="A213" s="4" t="s">
        <v>350</v>
      </c>
      <c r="B213" s="4" t="s">
        <v>259</v>
      </c>
      <c r="C213" s="4" t="s">
        <v>96</v>
      </c>
      <c r="D213" s="16" t="e">
        <f>I213&amp;".txt"</f>
        <v>#REF!</v>
      </c>
      <c r="E213" s="16" t="s">
        <v>81</v>
      </c>
      <c r="F213" s="16" t="s">
        <v>92</v>
      </c>
      <c r="G213" s="16" t="s">
        <v>4</v>
      </c>
      <c r="H213" s="16" t="s">
        <v>4</v>
      </c>
      <c r="I213" s="16" t="e">
        <f>VLOOKUP(A213&amp;G213&amp;H213,#REF!,2,FALSE)</f>
        <v>#REF!</v>
      </c>
    </row>
    <row r="214" spans="1:9" x14ac:dyDescent="0.25">
      <c r="A214" s="8"/>
      <c r="B214" s="8"/>
      <c r="C214" s="8"/>
      <c r="D214" s="8"/>
      <c r="E214" s="8"/>
      <c r="F214" s="8"/>
      <c r="G214" s="8"/>
      <c r="H214" s="8"/>
      <c r="I214" s="8"/>
    </row>
    <row r="215" spans="1:9" x14ac:dyDescent="0.25">
      <c r="A215" s="8"/>
      <c r="B215" s="8"/>
      <c r="C215" s="8"/>
      <c r="D215" s="8"/>
      <c r="E215" s="8"/>
      <c r="F215" s="8"/>
      <c r="G215" s="8"/>
      <c r="H215" s="8"/>
      <c r="I215" s="8"/>
    </row>
    <row r="216" spans="1:9" x14ac:dyDescent="0.25">
      <c r="A216" s="8"/>
      <c r="B216" s="8"/>
      <c r="C216" s="8"/>
      <c r="D216" s="8"/>
      <c r="E216" s="8"/>
      <c r="F216" s="8"/>
      <c r="G216" s="8"/>
      <c r="H216" s="8"/>
      <c r="I216" s="8"/>
    </row>
    <row r="217" spans="1:9" x14ac:dyDescent="0.25">
      <c r="A217" s="4"/>
      <c r="B217" s="4"/>
      <c r="C217" s="4"/>
      <c r="D217" s="4"/>
      <c r="E217" s="4"/>
      <c r="F217" s="4"/>
      <c r="G217" s="8"/>
      <c r="H217" s="8"/>
      <c r="I217" s="8"/>
    </row>
    <row r="218" spans="1:9" x14ac:dyDescent="0.25">
      <c r="A218" s="4" t="s">
        <v>350</v>
      </c>
      <c r="B218" s="4" t="s">
        <v>7</v>
      </c>
      <c r="C218" s="4" t="s">
        <v>77</v>
      </c>
      <c r="D218" s="16" t="s">
        <v>90</v>
      </c>
      <c r="E218" s="16" t="s">
        <v>90</v>
      </c>
      <c r="F218" s="16" t="s">
        <v>92</v>
      </c>
      <c r="G218" s="8"/>
      <c r="H218" s="8"/>
      <c r="I218" s="8"/>
    </row>
    <row r="219" spans="1:9" x14ac:dyDescent="0.25">
      <c r="A219" s="4" t="s">
        <v>350</v>
      </c>
      <c r="B219" s="4" t="s">
        <v>259</v>
      </c>
      <c r="C219" s="4" t="s">
        <v>77</v>
      </c>
      <c r="D219" s="16" t="s">
        <v>90</v>
      </c>
      <c r="E219" s="16" t="s">
        <v>90</v>
      </c>
      <c r="F219" s="16" t="s">
        <v>104</v>
      </c>
      <c r="G219" s="8"/>
      <c r="H219" s="8"/>
      <c r="I219" s="8"/>
    </row>
    <row r="220" spans="1:9" x14ac:dyDescent="0.25">
      <c r="A220" s="4" t="s">
        <v>350</v>
      </c>
      <c r="B220" s="4" t="s">
        <v>7</v>
      </c>
      <c r="C220" s="4" t="s">
        <v>77</v>
      </c>
      <c r="D220" s="16" t="s">
        <v>90</v>
      </c>
      <c r="E220" s="16" t="s">
        <v>90</v>
      </c>
      <c r="F220" s="16" t="s">
        <v>92</v>
      </c>
      <c r="G220" s="8"/>
      <c r="H220" s="8"/>
      <c r="I220" s="8"/>
    </row>
    <row r="221" spans="1:9" x14ac:dyDescent="0.25">
      <c r="A221" s="37"/>
      <c r="B221" s="37"/>
      <c r="C221" s="37"/>
      <c r="D221" s="37"/>
      <c r="E221" s="37"/>
      <c r="F221" s="37"/>
      <c r="G221" s="8"/>
      <c r="H221" s="8"/>
      <c r="I221" s="8"/>
    </row>
    <row r="222" spans="1:9" x14ac:dyDescent="0.25">
      <c r="A222" s="4" t="s">
        <v>350</v>
      </c>
      <c r="B222" s="4" t="s">
        <v>917</v>
      </c>
      <c r="C222" s="4" t="s">
        <v>77</v>
      </c>
      <c r="D222" s="16" t="s">
        <v>90</v>
      </c>
      <c r="E222" s="16" t="s">
        <v>90</v>
      </c>
      <c r="F222" s="16" t="s">
        <v>92</v>
      </c>
      <c r="G222" s="8"/>
      <c r="H222" s="8"/>
      <c r="I222" s="8"/>
    </row>
    <row r="223" spans="1:9" x14ac:dyDescent="0.25">
      <c r="A223" s="37"/>
      <c r="B223" s="37"/>
      <c r="C223" s="37"/>
      <c r="D223" s="37"/>
      <c r="E223" s="37"/>
      <c r="F223" s="37"/>
      <c r="G223" s="8"/>
      <c r="H223" s="8"/>
      <c r="I223" s="8"/>
    </row>
    <row r="224" spans="1:9" x14ac:dyDescent="0.25">
      <c r="A224" s="37"/>
      <c r="B224" s="37"/>
      <c r="C224" s="37"/>
      <c r="D224" s="37"/>
      <c r="E224" s="37"/>
      <c r="F224" s="37"/>
      <c r="G224" s="8"/>
      <c r="H224" s="8"/>
      <c r="I224" s="8"/>
    </row>
    <row r="225" spans="1:9" x14ac:dyDescent="0.25">
      <c r="A225" s="9"/>
      <c r="B225" s="9"/>
      <c r="C225" s="9"/>
      <c r="D225" s="9"/>
      <c r="E225" s="9"/>
      <c r="F225" s="9"/>
      <c r="G225" s="8"/>
      <c r="H225" s="8"/>
      <c r="I225" s="8"/>
    </row>
    <row r="226" spans="1:9" x14ac:dyDescent="0.25">
      <c r="G226" s="8"/>
      <c r="H226" s="8"/>
      <c r="I226" s="8"/>
    </row>
    <row r="227" spans="1:9" x14ac:dyDescent="0.25">
      <c r="A227" s="4" t="s">
        <v>1055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1055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1055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1055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1055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1055</v>
      </c>
      <c r="B232" s="4" t="s">
        <v>353</v>
      </c>
      <c r="C232" s="4" t="s">
        <v>77</v>
      </c>
      <c r="D232" s="16" t="s">
        <v>100</v>
      </c>
      <c r="E232" s="16" t="s">
        <v>101</v>
      </c>
      <c r="F232" s="3"/>
      <c r="G232" s="8"/>
      <c r="H232" s="8"/>
      <c r="I232" s="8"/>
    </row>
    <row r="233" spans="1:9" ht="30" x14ac:dyDescent="0.25">
      <c r="A233" s="4" t="s">
        <v>1055</v>
      </c>
      <c r="B233" s="4" t="s">
        <v>353</v>
      </c>
      <c r="C233" s="4" t="s">
        <v>77</v>
      </c>
      <c r="D233" s="16" t="s">
        <v>354</v>
      </c>
      <c r="E233" s="16" t="s">
        <v>419</v>
      </c>
      <c r="F233" s="3"/>
      <c r="G233" s="8"/>
      <c r="H233" s="8"/>
      <c r="I233" s="8"/>
    </row>
    <row r="234" spans="1:9" x14ac:dyDescent="0.25">
      <c r="A234" s="4" t="s">
        <v>1055</v>
      </c>
      <c r="B234" s="4" t="s">
        <v>353</v>
      </c>
      <c r="C234" s="4" t="s">
        <v>77</v>
      </c>
      <c r="D234" s="16" t="s">
        <v>107</v>
      </c>
      <c r="E234" s="16" t="s">
        <v>107</v>
      </c>
      <c r="F234" s="3"/>
      <c r="G234" s="8"/>
      <c r="H234" s="8"/>
      <c r="I234" s="8"/>
    </row>
    <row r="235" spans="1:9" x14ac:dyDescent="0.25">
      <c r="A235" s="4" t="s">
        <v>1055</v>
      </c>
      <c r="B235" s="4" t="s">
        <v>353</v>
      </c>
      <c r="C235" s="4" t="s">
        <v>77</v>
      </c>
      <c r="D235" s="16" t="s">
        <v>428</v>
      </c>
      <c r="E235" s="16" t="s">
        <v>735</v>
      </c>
      <c r="F235" s="3"/>
      <c r="G235" s="8"/>
      <c r="H235" s="8"/>
      <c r="I235" s="8"/>
    </row>
    <row r="236" spans="1:9" x14ac:dyDescent="0.25">
      <c r="A236" s="4" t="s">
        <v>1055</v>
      </c>
      <c r="B236" s="4" t="s">
        <v>353</v>
      </c>
      <c r="C236" s="4" t="s">
        <v>77</v>
      </c>
      <c r="D236" s="16" t="s">
        <v>356</v>
      </c>
      <c r="E236" s="16" t="s">
        <v>736</v>
      </c>
      <c r="F236" s="3"/>
      <c r="G236" s="8"/>
      <c r="H236" s="8"/>
      <c r="I236" s="8"/>
    </row>
    <row r="237" spans="1:9" x14ac:dyDescent="0.25">
      <c r="A237" s="4" t="s">
        <v>1055</v>
      </c>
      <c r="B237" s="4" t="s">
        <v>353</v>
      </c>
      <c r="C237" s="4" t="s">
        <v>77</v>
      </c>
      <c r="D237" s="16" t="s">
        <v>357</v>
      </c>
      <c r="E237" s="16" t="s">
        <v>357</v>
      </c>
      <c r="F237" s="3"/>
      <c r="G237" s="8"/>
      <c r="H237" s="8"/>
      <c r="I237" s="8"/>
    </row>
    <row r="238" spans="1:9" x14ac:dyDescent="0.25">
      <c r="A238" s="4" t="s">
        <v>1055</v>
      </c>
      <c r="B238" s="4" t="s">
        <v>353</v>
      </c>
      <c r="C238" s="4" t="s">
        <v>77</v>
      </c>
      <c r="D238" s="16" t="s">
        <v>358</v>
      </c>
      <c r="E238" s="16" t="s">
        <v>358</v>
      </c>
      <c r="F238" s="3"/>
      <c r="G238" s="8"/>
      <c r="H238" s="8"/>
      <c r="I238" s="8"/>
    </row>
    <row r="239" spans="1:9" x14ac:dyDescent="0.25">
      <c r="A239" s="4" t="s">
        <v>1055</v>
      </c>
      <c r="B239" s="4" t="s">
        <v>353</v>
      </c>
      <c r="C239" s="4" t="s">
        <v>77</v>
      </c>
      <c r="D239" s="16" t="s">
        <v>359</v>
      </c>
      <c r="E239" s="16" t="s">
        <v>359</v>
      </c>
      <c r="F239" s="3"/>
      <c r="G239" s="8"/>
      <c r="H239" s="8"/>
      <c r="I239" s="8"/>
    </row>
    <row r="240" spans="1:9" x14ac:dyDescent="0.25">
      <c r="A240" s="4" t="s">
        <v>1055</v>
      </c>
      <c r="B240" s="4" t="s">
        <v>353</v>
      </c>
      <c r="C240" s="4" t="s">
        <v>77</v>
      </c>
      <c r="D240" s="16" t="s">
        <v>360</v>
      </c>
      <c r="E240" s="16" t="s">
        <v>360</v>
      </c>
      <c r="F240" s="3"/>
      <c r="G240" s="8"/>
      <c r="H240" s="8"/>
      <c r="I240" s="8"/>
    </row>
    <row r="241" spans="1:9" x14ac:dyDescent="0.25">
      <c r="A241" s="4" t="s">
        <v>1055</v>
      </c>
      <c r="B241" s="4" t="s">
        <v>353</v>
      </c>
      <c r="C241" s="4" t="s">
        <v>77</v>
      </c>
      <c r="D241" s="16" t="s">
        <v>361</v>
      </c>
      <c r="E241" s="16" t="s">
        <v>361</v>
      </c>
      <c r="F241" s="3"/>
      <c r="G241" s="8"/>
      <c r="H241" s="8"/>
      <c r="I241" s="8"/>
    </row>
    <row r="242" spans="1:9" x14ac:dyDescent="0.25">
      <c r="A242" s="4" t="s">
        <v>1055</v>
      </c>
      <c r="B242" s="4" t="s">
        <v>353</v>
      </c>
      <c r="C242" s="4" t="s">
        <v>77</v>
      </c>
      <c r="D242" s="22" t="s">
        <v>729</v>
      </c>
      <c r="E242" s="22" t="s">
        <v>203</v>
      </c>
      <c r="F242" s="3"/>
      <c r="G242" s="8"/>
      <c r="H242" s="8"/>
      <c r="I242" s="8"/>
    </row>
    <row r="243" spans="1:9" x14ac:dyDescent="0.25">
      <c r="A243" s="4" t="s">
        <v>1055</v>
      </c>
      <c r="B243" s="4" t="s">
        <v>353</v>
      </c>
      <c r="C243" s="4" t="s">
        <v>77</v>
      </c>
      <c r="D243" s="22" t="s">
        <v>730</v>
      </c>
      <c r="E243" s="22" t="s">
        <v>203</v>
      </c>
      <c r="F243" s="3"/>
      <c r="G243" s="8"/>
      <c r="H243" s="8"/>
      <c r="I243" s="8"/>
    </row>
    <row r="244" spans="1:9" x14ac:dyDescent="0.25">
      <c r="A244" s="4" t="s">
        <v>1055</v>
      </c>
      <c r="B244" s="4" t="s">
        <v>353</v>
      </c>
      <c r="C244" s="4" t="s">
        <v>77</v>
      </c>
      <c r="D244" s="22" t="s">
        <v>731</v>
      </c>
      <c r="E244" s="22" t="s">
        <v>203</v>
      </c>
      <c r="F244" s="3"/>
      <c r="G244" s="8"/>
      <c r="H244" s="8"/>
      <c r="I244" s="8"/>
    </row>
    <row r="245" spans="1:9" x14ac:dyDescent="0.25">
      <c r="A245" s="4" t="s">
        <v>1055</v>
      </c>
      <c r="B245" s="4" t="s">
        <v>353</v>
      </c>
      <c r="C245" s="4" t="s">
        <v>77</v>
      </c>
      <c r="D245" s="22" t="s">
        <v>732</v>
      </c>
      <c r="E245" s="22" t="s">
        <v>203</v>
      </c>
      <c r="F245" s="3"/>
      <c r="G245" s="8"/>
      <c r="H245" s="8"/>
      <c r="I245" s="8"/>
    </row>
    <row r="246" spans="1:9" x14ac:dyDescent="0.25">
      <c r="A246" s="4" t="s">
        <v>1055</v>
      </c>
      <c r="B246" s="4" t="s">
        <v>353</v>
      </c>
      <c r="C246" s="4" t="s">
        <v>77</v>
      </c>
      <c r="D246" s="22" t="s">
        <v>733</v>
      </c>
      <c r="E246" s="22" t="s">
        <v>203</v>
      </c>
      <c r="F246" s="3"/>
      <c r="G246" s="8"/>
      <c r="H246" s="8"/>
      <c r="I246" s="8"/>
    </row>
    <row r="247" spans="1:9" x14ac:dyDescent="0.25">
      <c r="A247" s="4" t="s">
        <v>1055</v>
      </c>
      <c r="B247" s="4" t="s">
        <v>353</v>
      </c>
      <c r="C247" s="4" t="s">
        <v>77</v>
      </c>
      <c r="D247" s="22" t="s">
        <v>878</v>
      </c>
      <c r="E247" s="22" t="s">
        <v>203</v>
      </c>
      <c r="F247" s="3"/>
      <c r="G247" s="8"/>
      <c r="H247" s="8"/>
      <c r="I247" s="8"/>
    </row>
    <row r="248" spans="1:9" ht="30" x14ac:dyDescent="0.25">
      <c r="A248" s="4" t="s">
        <v>1055</v>
      </c>
      <c r="B248" s="4" t="s">
        <v>353</v>
      </c>
      <c r="C248" s="4" t="s">
        <v>95</v>
      </c>
      <c r="D248" s="16" t="e">
        <f>I248&amp;".txt"</f>
        <v>#REF!</v>
      </c>
      <c r="E248" s="16" t="s">
        <v>81</v>
      </c>
      <c r="F248" s="3"/>
      <c r="G248" s="16" t="s">
        <v>29</v>
      </c>
      <c r="H248" s="16" t="s">
        <v>59</v>
      </c>
      <c r="I248" s="16" t="e">
        <f>VLOOKUP(A248&amp;G248&amp;H248,#REF!,2,FALSE)</f>
        <v>#REF!</v>
      </c>
    </row>
    <row r="249" spans="1:9" x14ac:dyDescent="0.25">
      <c r="G249" s="8"/>
      <c r="H249" s="8"/>
      <c r="I249" s="8"/>
    </row>
    <row r="250" spans="1:9" x14ac:dyDescent="0.25">
      <c r="A250" s="4"/>
      <c r="B250" s="4"/>
      <c r="C250" s="4"/>
      <c r="D250" s="4"/>
      <c r="E250" s="4"/>
      <c r="F250" s="4"/>
      <c r="G250" s="8"/>
      <c r="H250" s="8"/>
      <c r="I250" s="8"/>
    </row>
    <row r="251" spans="1:9" x14ac:dyDescent="0.25">
      <c r="A251" s="4"/>
      <c r="B251" s="4"/>
      <c r="C251" s="4"/>
      <c r="D251" s="4"/>
      <c r="E251" s="4"/>
      <c r="F251" s="4"/>
      <c r="G251" s="8"/>
      <c r="H251" s="8"/>
      <c r="I251" s="8"/>
    </row>
    <row r="252" spans="1:9" ht="30" x14ac:dyDescent="0.25">
      <c r="A252" s="4" t="s">
        <v>884</v>
      </c>
      <c r="B252" s="4" t="s">
        <v>353</v>
      </c>
      <c r="C252" s="4" t="s">
        <v>77</v>
      </c>
      <c r="D252" s="22" t="s">
        <v>729</v>
      </c>
      <c r="E252" s="22" t="s">
        <v>203</v>
      </c>
      <c r="F252" s="3"/>
      <c r="G252" s="8"/>
      <c r="H252" s="8"/>
      <c r="I252" s="8"/>
    </row>
    <row r="253" spans="1:9" ht="30" x14ac:dyDescent="0.25">
      <c r="A253" s="4" t="s">
        <v>884</v>
      </c>
      <c r="B253" s="4" t="s">
        <v>353</v>
      </c>
      <c r="C253" s="4" t="s">
        <v>77</v>
      </c>
      <c r="D253" s="22" t="s">
        <v>730</v>
      </c>
      <c r="E253" s="22" t="s">
        <v>203</v>
      </c>
      <c r="F253" s="3"/>
      <c r="G253" s="8"/>
      <c r="H253" s="8"/>
      <c r="I253" s="8"/>
    </row>
    <row r="254" spans="1:9" ht="30" x14ac:dyDescent="0.25">
      <c r="A254" s="4" t="s">
        <v>884</v>
      </c>
      <c r="B254" s="4" t="s">
        <v>353</v>
      </c>
      <c r="C254" s="4" t="s">
        <v>77</v>
      </c>
      <c r="D254" s="22" t="s">
        <v>731</v>
      </c>
      <c r="E254" s="22" t="s">
        <v>203</v>
      </c>
      <c r="F254" s="3"/>
      <c r="G254" s="8"/>
      <c r="H254" s="8"/>
      <c r="I254" s="8"/>
    </row>
    <row r="255" spans="1:9" ht="30" x14ac:dyDescent="0.25">
      <c r="A255" s="4" t="s">
        <v>884</v>
      </c>
      <c r="B255" s="4" t="s">
        <v>353</v>
      </c>
      <c r="C255" s="4" t="s">
        <v>77</v>
      </c>
      <c r="D255" s="22" t="s">
        <v>732</v>
      </c>
      <c r="E255" s="22" t="s">
        <v>203</v>
      </c>
      <c r="F255" s="3"/>
      <c r="G255" s="8"/>
      <c r="H255" s="8"/>
      <c r="I255" s="8"/>
    </row>
    <row r="256" spans="1:9" ht="30" x14ac:dyDescent="0.25">
      <c r="A256" s="4" t="s">
        <v>884</v>
      </c>
      <c r="B256" s="4" t="s">
        <v>353</v>
      </c>
      <c r="C256" s="4" t="s">
        <v>77</v>
      </c>
      <c r="D256" s="22" t="s">
        <v>733</v>
      </c>
      <c r="E256" s="22" t="s">
        <v>203</v>
      </c>
      <c r="F256" s="3"/>
      <c r="G256" s="8"/>
      <c r="H256" s="8"/>
      <c r="I256" s="8"/>
    </row>
    <row r="257" spans="1:9" ht="30" x14ac:dyDescent="0.25">
      <c r="A257" s="4" t="s">
        <v>884</v>
      </c>
      <c r="B257" s="4" t="s">
        <v>353</v>
      </c>
      <c r="C257" s="4" t="s">
        <v>77</v>
      </c>
      <c r="D257" s="22" t="s">
        <v>734</v>
      </c>
      <c r="E257" s="22" t="s">
        <v>203</v>
      </c>
      <c r="F257" s="3"/>
      <c r="G257" s="8"/>
      <c r="H257" s="8"/>
      <c r="I257" s="8"/>
    </row>
    <row r="258" spans="1:9" ht="30" x14ac:dyDescent="0.25">
      <c r="A258" s="4" t="s">
        <v>884</v>
      </c>
      <c r="B258" s="4" t="s">
        <v>353</v>
      </c>
      <c r="C258" s="4" t="s">
        <v>77</v>
      </c>
      <c r="D258" s="16" t="s">
        <v>477</v>
      </c>
      <c r="E258" s="16" t="s">
        <v>477</v>
      </c>
      <c r="F258" s="16"/>
      <c r="G258" s="8"/>
      <c r="H258" s="8"/>
      <c r="I258" s="8"/>
    </row>
    <row r="259" spans="1:9" ht="30" x14ac:dyDescent="0.25">
      <c r="A259" s="4" t="s">
        <v>884</v>
      </c>
      <c r="B259" s="4" t="s">
        <v>353</v>
      </c>
      <c r="C259" s="4" t="s">
        <v>77</v>
      </c>
      <c r="D259" s="16" t="s">
        <v>84</v>
      </c>
      <c r="E259" s="16" t="s">
        <v>81</v>
      </c>
      <c r="F259" s="3"/>
      <c r="G259" s="8"/>
      <c r="H259" s="8"/>
      <c r="I259" s="8"/>
    </row>
    <row r="260" spans="1:9" ht="30" x14ac:dyDescent="0.25">
      <c r="A260" s="4" t="s">
        <v>884</v>
      </c>
      <c r="B260" s="4" t="s">
        <v>353</v>
      </c>
      <c r="C260" s="4" t="s">
        <v>77</v>
      </c>
      <c r="D260" s="16" t="s">
        <v>82</v>
      </c>
      <c r="E260" s="16" t="s">
        <v>79</v>
      </c>
      <c r="F260" s="3"/>
      <c r="G260" s="8"/>
      <c r="H260" s="8"/>
      <c r="I260" s="8"/>
    </row>
    <row r="261" spans="1:9" ht="30" x14ac:dyDescent="0.25">
      <c r="A261" s="4" t="s">
        <v>884</v>
      </c>
      <c r="B261" s="4" t="s">
        <v>353</v>
      </c>
      <c r="C261" s="4" t="s">
        <v>77</v>
      </c>
      <c r="D261" s="16" t="s">
        <v>85</v>
      </c>
      <c r="E261" s="16" t="s">
        <v>85</v>
      </c>
      <c r="F261" s="3"/>
      <c r="G261" s="8"/>
      <c r="H261" s="8"/>
      <c r="I261" s="8"/>
    </row>
    <row r="262" spans="1:9" ht="30" x14ac:dyDescent="0.25">
      <c r="A262" s="4" t="s">
        <v>884</v>
      </c>
      <c r="B262" s="4" t="s">
        <v>353</v>
      </c>
      <c r="C262" s="4" t="s">
        <v>77</v>
      </c>
      <c r="D262" s="16" t="s">
        <v>86</v>
      </c>
      <c r="E262" s="16" t="s">
        <v>87</v>
      </c>
      <c r="F262" s="3"/>
      <c r="G262" s="8"/>
      <c r="H262" s="8"/>
      <c r="I262" s="8"/>
    </row>
    <row r="263" spans="1:9" ht="30" x14ac:dyDescent="0.25">
      <c r="A263" s="4" t="s">
        <v>884</v>
      </c>
      <c r="B263" s="4" t="s">
        <v>353</v>
      </c>
      <c r="C263" s="4" t="s">
        <v>77</v>
      </c>
      <c r="D263" s="16" t="s">
        <v>88</v>
      </c>
      <c r="E263" s="16" t="s">
        <v>88</v>
      </c>
      <c r="F263" s="3"/>
      <c r="G263" s="8"/>
      <c r="H263" s="8"/>
      <c r="I263" s="8"/>
    </row>
    <row r="264" spans="1:9" ht="30" x14ac:dyDescent="0.25">
      <c r="A264" s="4" t="s">
        <v>884</v>
      </c>
      <c r="B264" s="4" t="s">
        <v>353</v>
      </c>
      <c r="C264" s="4" t="s">
        <v>77</v>
      </c>
      <c r="D264" s="16" t="s">
        <v>99</v>
      </c>
      <c r="E264" s="16" t="s">
        <v>99</v>
      </c>
      <c r="F264" s="3"/>
      <c r="G264" s="8"/>
      <c r="H264" s="8"/>
      <c r="I264" s="8"/>
    </row>
    <row r="265" spans="1:9" ht="30" x14ac:dyDescent="0.25">
      <c r="A265" s="4" t="s">
        <v>884</v>
      </c>
      <c r="B265" s="4" t="s">
        <v>353</v>
      </c>
      <c r="C265" s="4" t="s">
        <v>77</v>
      </c>
      <c r="D265" s="16" t="s">
        <v>100</v>
      </c>
      <c r="E265" s="16" t="s">
        <v>101</v>
      </c>
      <c r="F265" s="3"/>
      <c r="G265" s="8"/>
      <c r="H265" s="8"/>
      <c r="I265" s="8"/>
    </row>
    <row r="266" spans="1:9" ht="30" x14ac:dyDescent="0.25">
      <c r="A266" s="4" t="s">
        <v>884</v>
      </c>
      <c r="B266" s="4" t="s">
        <v>353</v>
      </c>
      <c r="C266" s="4" t="s">
        <v>77</v>
      </c>
      <c r="D266" s="16" t="s">
        <v>102</v>
      </c>
      <c r="E266" s="16" t="s">
        <v>102</v>
      </c>
      <c r="F266" s="3"/>
      <c r="G266" s="8"/>
      <c r="H266" s="8"/>
      <c r="I266" s="8"/>
    </row>
    <row r="267" spans="1:9" ht="30" x14ac:dyDescent="0.25">
      <c r="A267" s="4" t="s">
        <v>884</v>
      </c>
      <c r="B267" s="4" t="s">
        <v>353</v>
      </c>
      <c r="C267" s="4" t="s">
        <v>77</v>
      </c>
      <c r="D267" s="16" t="s">
        <v>354</v>
      </c>
      <c r="E267" s="16" t="s">
        <v>419</v>
      </c>
      <c r="F267" s="3"/>
      <c r="G267" s="8"/>
      <c r="H267" s="8"/>
      <c r="I267" s="8"/>
    </row>
    <row r="268" spans="1:9" ht="30" x14ac:dyDescent="0.25">
      <c r="A268" s="4" t="s">
        <v>884</v>
      </c>
      <c r="B268" s="4" t="s">
        <v>353</v>
      </c>
      <c r="C268" s="4" t="s">
        <v>77</v>
      </c>
      <c r="D268" s="16" t="s">
        <v>107</v>
      </c>
      <c r="E268" s="16" t="s">
        <v>89</v>
      </c>
      <c r="F268" s="3"/>
      <c r="G268" s="8"/>
      <c r="H268" s="8"/>
      <c r="I268" s="8"/>
    </row>
    <row r="269" spans="1:9" ht="30" x14ac:dyDescent="0.25">
      <c r="A269" s="4" t="s">
        <v>884</v>
      </c>
      <c r="B269" s="4" t="s">
        <v>353</v>
      </c>
      <c r="C269" s="4" t="s">
        <v>77</v>
      </c>
      <c r="D269" s="16" t="s">
        <v>355</v>
      </c>
      <c r="E269" s="16" t="s">
        <v>355</v>
      </c>
      <c r="F269" s="3"/>
      <c r="G269" s="8"/>
      <c r="H269" s="8"/>
      <c r="I269" s="8"/>
    </row>
    <row r="270" spans="1:9" ht="30" x14ac:dyDescent="0.25">
      <c r="A270" s="4" t="s">
        <v>884</v>
      </c>
      <c r="B270" s="4" t="s">
        <v>353</v>
      </c>
      <c r="C270" s="4" t="s">
        <v>77</v>
      </c>
      <c r="D270" s="16" t="s">
        <v>356</v>
      </c>
      <c r="E270" s="16" t="s">
        <v>356</v>
      </c>
      <c r="F270" s="3"/>
      <c r="G270" s="8"/>
      <c r="H270" s="8"/>
      <c r="I270" s="8"/>
    </row>
    <row r="271" spans="1:9" ht="30" x14ac:dyDescent="0.25">
      <c r="A271" s="4" t="s">
        <v>884</v>
      </c>
      <c r="B271" s="4" t="s">
        <v>353</v>
      </c>
      <c r="C271" s="4" t="s">
        <v>77</v>
      </c>
      <c r="D271" s="16" t="s">
        <v>357</v>
      </c>
      <c r="E271" s="16" t="s">
        <v>357</v>
      </c>
      <c r="F271" s="3"/>
      <c r="G271" s="8"/>
      <c r="H271" s="8"/>
      <c r="I271" s="8"/>
    </row>
    <row r="272" spans="1:9" ht="30" x14ac:dyDescent="0.25">
      <c r="A272" s="4" t="s">
        <v>884</v>
      </c>
      <c r="B272" s="4" t="s">
        <v>353</v>
      </c>
      <c r="C272" s="4" t="s">
        <v>77</v>
      </c>
      <c r="D272" s="16" t="s">
        <v>358</v>
      </c>
      <c r="E272" s="16" t="s">
        <v>358</v>
      </c>
      <c r="F272" s="3"/>
      <c r="G272" s="8"/>
      <c r="H272" s="8"/>
      <c r="I272" s="8"/>
    </row>
    <row r="273" spans="1:9" ht="30" x14ac:dyDescent="0.25">
      <c r="A273" s="4" t="s">
        <v>884</v>
      </c>
      <c r="B273" s="4" t="s">
        <v>353</v>
      </c>
      <c r="C273" s="4" t="s">
        <v>77</v>
      </c>
      <c r="D273" s="16" t="s">
        <v>359</v>
      </c>
      <c r="E273" s="16" t="s">
        <v>359</v>
      </c>
      <c r="F273" s="3"/>
      <c r="G273" s="8"/>
      <c r="H273" s="8"/>
      <c r="I273" s="8"/>
    </row>
    <row r="274" spans="1:9" ht="30" x14ac:dyDescent="0.25">
      <c r="A274" s="4" t="s">
        <v>884</v>
      </c>
      <c r="B274" s="4" t="s">
        <v>353</v>
      </c>
      <c r="C274" s="4" t="s">
        <v>77</v>
      </c>
      <c r="D274" s="16" t="s">
        <v>360</v>
      </c>
      <c r="E274" s="16" t="s">
        <v>360</v>
      </c>
      <c r="F274" s="3"/>
      <c r="G274" s="8"/>
      <c r="H274" s="8"/>
      <c r="I274" s="8"/>
    </row>
    <row r="275" spans="1:9" ht="30" x14ac:dyDescent="0.25">
      <c r="A275" s="4" t="s">
        <v>884</v>
      </c>
      <c r="B275" s="4" t="s">
        <v>353</v>
      </c>
      <c r="C275" s="4" t="s">
        <v>77</v>
      </c>
      <c r="D275" s="16" t="s">
        <v>361</v>
      </c>
      <c r="E275" s="16" t="s">
        <v>361</v>
      </c>
      <c r="F275" s="3"/>
      <c r="G275" s="8"/>
      <c r="H275" s="8"/>
      <c r="I275" s="8"/>
    </row>
    <row r="276" spans="1:9" ht="30" x14ac:dyDescent="0.25">
      <c r="A276" s="4" t="s">
        <v>884</v>
      </c>
      <c r="B276" s="4" t="s">
        <v>353</v>
      </c>
      <c r="C276" s="4" t="s">
        <v>95</v>
      </c>
      <c r="D276" s="16" t="e">
        <f>I276&amp;".txt"</f>
        <v>#REF!</v>
      </c>
      <c r="E276" s="16" t="s">
        <v>81</v>
      </c>
      <c r="F276" s="3"/>
      <c r="G276" s="16" t="s">
        <v>29</v>
      </c>
      <c r="H276" s="16" t="s">
        <v>59</v>
      </c>
      <c r="I276" s="16" t="e">
        <f>VLOOKUP(A276&amp;G276&amp;H276,#REF!,2,FALSE)</f>
        <v>#REF!</v>
      </c>
    </row>
    <row r="277" spans="1:9" x14ac:dyDescent="0.25">
      <c r="G277" s="8"/>
      <c r="H277" s="8"/>
      <c r="I277" s="8"/>
    </row>
    <row r="278" spans="1:9" x14ac:dyDescent="0.25">
      <c r="G278" s="8"/>
      <c r="H278" s="8"/>
      <c r="I278" s="8"/>
    </row>
    <row r="279" spans="1:9" ht="30" x14ac:dyDescent="0.25">
      <c r="A279" s="4" t="s">
        <v>375</v>
      </c>
      <c r="B279" s="4" t="s">
        <v>398</v>
      </c>
      <c r="C279" s="4" t="s">
        <v>77</v>
      </c>
      <c r="D279" s="48" t="s">
        <v>84</v>
      </c>
      <c r="E279" s="35" t="s">
        <v>81</v>
      </c>
      <c r="F279" s="36"/>
      <c r="G279" s="8"/>
      <c r="H279" s="8"/>
      <c r="I279" s="8"/>
    </row>
    <row r="280" spans="1:9" ht="30" x14ac:dyDescent="0.25">
      <c r="A280" s="4" t="s">
        <v>375</v>
      </c>
      <c r="B280" s="4" t="s">
        <v>398</v>
      </c>
      <c r="C280" s="4" t="s">
        <v>77</v>
      </c>
      <c r="D280" s="38" t="s">
        <v>82</v>
      </c>
      <c r="E280" s="16" t="s">
        <v>79</v>
      </c>
      <c r="F280" s="3"/>
      <c r="G280" s="8"/>
      <c r="H280" s="8"/>
      <c r="I280" s="8"/>
    </row>
    <row r="281" spans="1:9" ht="30" x14ac:dyDescent="0.25">
      <c r="A281" s="4" t="s">
        <v>375</v>
      </c>
      <c r="B281" s="4" t="s">
        <v>398</v>
      </c>
      <c r="C281" s="4" t="s">
        <v>77</v>
      </c>
      <c r="D281" s="38" t="s">
        <v>85</v>
      </c>
      <c r="E281" s="16" t="s">
        <v>85</v>
      </c>
      <c r="F281" s="3"/>
      <c r="G281" s="8"/>
      <c r="H281" s="8"/>
      <c r="I281" s="8"/>
    </row>
    <row r="282" spans="1:9" ht="30" x14ac:dyDescent="0.25">
      <c r="A282" s="4" t="s">
        <v>375</v>
      </c>
      <c r="B282" s="4" t="s">
        <v>398</v>
      </c>
      <c r="C282" s="4" t="s">
        <v>77</v>
      </c>
      <c r="D282" s="38" t="s">
        <v>86</v>
      </c>
      <c r="E282" s="16" t="s">
        <v>87</v>
      </c>
      <c r="F282" s="3"/>
      <c r="G282" s="8"/>
      <c r="H282" s="8"/>
      <c r="I282" s="8"/>
    </row>
    <row r="283" spans="1:9" ht="30" x14ac:dyDescent="0.25">
      <c r="A283" s="4" t="s">
        <v>375</v>
      </c>
      <c r="B283" s="4" t="s">
        <v>398</v>
      </c>
      <c r="C283" s="4" t="s">
        <v>77</v>
      </c>
      <c r="D283" s="38" t="s">
        <v>88</v>
      </c>
      <c r="E283" s="16" t="s">
        <v>88</v>
      </c>
      <c r="F283" s="3"/>
      <c r="G283" s="8"/>
      <c r="H283" s="8"/>
      <c r="I283" s="8"/>
    </row>
    <row r="284" spans="1:9" ht="30" x14ac:dyDescent="0.25">
      <c r="A284" s="4" t="s">
        <v>375</v>
      </c>
      <c r="B284" s="4" t="s">
        <v>398</v>
      </c>
      <c r="C284" s="4" t="s">
        <v>77</v>
      </c>
      <c r="D284" s="38" t="s">
        <v>97</v>
      </c>
      <c r="E284" s="16" t="s">
        <v>98</v>
      </c>
      <c r="F284" s="3"/>
      <c r="G284" s="8"/>
      <c r="H284" s="8"/>
      <c r="I284" s="8"/>
    </row>
    <row r="285" spans="1:9" ht="30" x14ac:dyDescent="0.25">
      <c r="A285" s="4" t="s">
        <v>375</v>
      </c>
      <c r="B285" s="4" t="s">
        <v>398</v>
      </c>
      <c r="C285" s="4" t="s">
        <v>77</v>
      </c>
      <c r="D285" s="38" t="s">
        <v>99</v>
      </c>
      <c r="E285" s="16" t="s">
        <v>99</v>
      </c>
      <c r="F285" s="3"/>
      <c r="G285" s="8"/>
      <c r="H285" s="8"/>
      <c r="I285" s="8"/>
    </row>
    <row r="286" spans="1:9" ht="30" x14ac:dyDescent="0.25">
      <c r="A286" s="4" t="s">
        <v>375</v>
      </c>
      <c r="B286" s="4" t="s">
        <v>398</v>
      </c>
      <c r="C286" s="4" t="s">
        <v>77</v>
      </c>
      <c r="D286" s="38" t="s">
        <v>100</v>
      </c>
      <c r="E286" s="16" t="s">
        <v>101</v>
      </c>
      <c r="F286" s="3"/>
      <c r="G286" s="8"/>
      <c r="H286" s="8"/>
      <c r="I286" s="8"/>
    </row>
    <row r="287" spans="1:9" ht="30" x14ac:dyDescent="0.25">
      <c r="A287" s="4" t="s">
        <v>375</v>
      </c>
      <c r="B287" s="4" t="s">
        <v>398</v>
      </c>
      <c r="C287" s="4" t="s">
        <v>77</v>
      </c>
      <c r="D287" s="38" t="s">
        <v>25</v>
      </c>
      <c r="E287" s="16" t="s">
        <v>333</v>
      </c>
      <c r="F287" s="3"/>
      <c r="G287" s="8"/>
      <c r="H287" s="8"/>
      <c r="I287" s="8"/>
    </row>
    <row r="288" spans="1:9" ht="30" x14ac:dyDescent="0.25">
      <c r="A288" s="4" t="s">
        <v>375</v>
      </c>
      <c r="B288" s="4" t="s">
        <v>398</v>
      </c>
      <c r="C288" s="4" t="s">
        <v>77</v>
      </c>
      <c r="D288" s="38" t="s">
        <v>78</v>
      </c>
      <c r="E288" s="16" t="s">
        <v>79</v>
      </c>
      <c r="F288" s="16" t="s">
        <v>104</v>
      </c>
      <c r="G288" s="8"/>
      <c r="H288" s="8"/>
      <c r="I288" s="8"/>
    </row>
    <row r="289" spans="1:10" ht="30" x14ac:dyDescent="0.25">
      <c r="A289" s="4" t="s">
        <v>375</v>
      </c>
      <c r="B289" s="4" t="s">
        <v>398</v>
      </c>
      <c r="C289" s="4" t="s">
        <v>77</v>
      </c>
      <c r="D289" s="38" t="s">
        <v>391</v>
      </c>
      <c r="E289" s="16" t="s">
        <v>408</v>
      </c>
      <c r="F289" s="16" t="s">
        <v>399</v>
      </c>
      <c r="G289" s="8"/>
      <c r="H289" s="8"/>
      <c r="I289" s="8"/>
    </row>
    <row r="290" spans="1:10" ht="30" x14ac:dyDescent="0.25">
      <c r="A290" s="4" t="s">
        <v>375</v>
      </c>
      <c r="B290" s="4" t="s">
        <v>398</v>
      </c>
      <c r="C290" s="4" t="s">
        <v>77</v>
      </c>
      <c r="D290" s="38" t="s">
        <v>394</v>
      </c>
      <c r="E290" s="16" t="s">
        <v>395</v>
      </c>
      <c r="F290" s="16" t="s">
        <v>104</v>
      </c>
      <c r="G290" s="8"/>
      <c r="H290" s="8"/>
      <c r="I290" s="8"/>
    </row>
    <row r="291" spans="1:10" ht="30" x14ac:dyDescent="0.25">
      <c r="A291" s="4" t="s">
        <v>375</v>
      </c>
      <c r="B291" s="4" t="s">
        <v>398</v>
      </c>
      <c r="C291" s="4" t="s">
        <v>77</v>
      </c>
      <c r="D291" s="38" t="s">
        <v>105</v>
      </c>
      <c r="E291" s="16" t="s">
        <v>105</v>
      </c>
      <c r="F291" s="3"/>
      <c r="G291" s="8"/>
      <c r="H291" s="8"/>
      <c r="I291" s="8"/>
    </row>
    <row r="292" spans="1:10" ht="30" x14ac:dyDescent="0.25">
      <c r="A292" s="4" t="s">
        <v>375</v>
      </c>
      <c r="B292" s="4" t="s">
        <v>398</v>
      </c>
      <c r="C292" s="4" t="s">
        <v>95</v>
      </c>
      <c r="D292" s="38" t="e">
        <f>I292&amp;".txt"</f>
        <v>#REF!</v>
      </c>
      <c r="E292" s="16" t="s">
        <v>81</v>
      </c>
      <c r="F292" s="3"/>
      <c r="G292" s="16" t="s">
        <v>2</v>
      </c>
      <c r="H292" s="16" t="s">
        <v>400</v>
      </c>
      <c r="I292" s="16" t="e">
        <f>VLOOKUP(A292&amp;G292&amp;H292,#REF!,2,FALSE)</f>
        <v>#REF!</v>
      </c>
    </row>
    <row r="293" spans="1:10" ht="30" x14ac:dyDescent="0.25">
      <c r="A293" s="4" t="s">
        <v>375</v>
      </c>
      <c r="B293" s="4" t="s">
        <v>398</v>
      </c>
      <c r="C293" s="4" t="s">
        <v>96</v>
      </c>
      <c r="D293" s="38" t="e">
        <f>I293&amp;".txt"</f>
        <v>#REF!</v>
      </c>
      <c r="E293" s="16" t="s">
        <v>81</v>
      </c>
      <c r="F293" s="16" t="s">
        <v>104</v>
      </c>
      <c r="G293" s="16" t="s">
        <v>7</v>
      </c>
      <c r="H293" s="16" t="s">
        <v>400</v>
      </c>
      <c r="I293" s="16" t="e">
        <f>VLOOKUP(A293&amp;G293&amp;H293,#REF!,2,FALSE)</f>
        <v>#REF!</v>
      </c>
    </row>
    <row r="294" spans="1:10" ht="30" x14ac:dyDescent="0.25">
      <c r="A294" s="4" t="s">
        <v>375</v>
      </c>
      <c r="B294" s="4" t="s">
        <v>398</v>
      </c>
      <c r="C294" s="4" t="s">
        <v>96</v>
      </c>
      <c r="D294" s="38" t="e">
        <f>I294&amp;".txt"</f>
        <v>#REF!</v>
      </c>
      <c r="E294" s="16" t="s">
        <v>81</v>
      </c>
      <c r="F294" s="16" t="s">
        <v>392</v>
      </c>
      <c r="G294" s="16" t="s">
        <v>4</v>
      </c>
      <c r="H294" s="16" t="s">
        <v>4</v>
      </c>
      <c r="I294" s="16" t="e">
        <f>VLOOKUP(A294&amp;G294&amp;H294,#REF!,2,FALSE)</f>
        <v>#REF!</v>
      </c>
      <c r="J294" s="9"/>
    </row>
    <row r="295" spans="1:10" ht="39" x14ac:dyDescent="0.25">
      <c r="A295" s="4" t="s">
        <v>375</v>
      </c>
      <c r="B295" s="4" t="s">
        <v>372</v>
      </c>
      <c r="C295" s="4" t="s">
        <v>77</v>
      </c>
      <c r="D295" s="38" t="s">
        <v>362</v>
      </c>
      <c r="E295" s="3"/>
      <c r="F295" s="3"/>
      <c r="G295" s="8"/>
      <c r="H295" s="8"/>
      <c r="I295" s="8"/>
    </row>
    <row r="296" spans="1:10" ht="30" x14ac:dyDescent="0.25">
      <c r="A296" s="4" t="s">
        <v>375</v>
      </c>
      <c r="B296" s="4" t="s">
        <v>372</v>
      </c>
      <c r="C296" s="4" t="s">
        <v>77</v>
      </c>
      <c r="D296" s="38" t="s">
        <v>363</v>
      </c>
      <c r="E296" s="16" t="s">
        <v>79</v>
      </c>
      <c r="F296" s="16" t="s">
        <v>83</v>
      </c>
      <c r="G296" s="8"/>
      <c r="H296" s="8"/>
      <c r="I296" s="8"/>
    </row>
    <row r="297" spans="1:10" ht="39" x14ac:dyDescent="0.25">
      <c r="A297" s="4" t="s">
        <v>375</v>
      </c>
      <c r="B297" s="4" t="s">
        <v>372</v>
      </c>
      <c r="C297" s="4" t="s">
        <v>77</v>
      </c>
      <c r="D297" s="38" t="s">
        <v>364</v>
      </c>
      <c r="E297" s="3"/>
      <c r="F297" s="3"/>
      <c r="G297" s="8"/>
      <c r="H297" s="8"/>
      <c r="I297" s="8"/>
    </row>
    <row r="298" spans="1:10" ht="39" x14ac:dyDescent="0.25">
      <c r="A298" s="4" t="s">
        <v>375</v>
      </c>
      <c r="B298" s="4" t="s">
        <v>372</v>
      </c>
      <c r="C298" s="4" t="s">
        <v>77</v>
      </c>
      <c r="D298" s="38" t="s">
        <v>365</v>
      </c>
      <c r="E298" s="16" t="s">
        <v>85</v>
      </c>
      <c r="F298" s="16" t="s">
        <v>83</v>
      </c>
      <c r="G298" s="8"/>
      <c r="H298" s="8"/>
      <c r="I298" s="8"/>
    </row>
    <row r="299" spans="1:10" ht="30" x14ac:dyDescent="0.25">
      <c r="A299" s="4" t="s">
        <v>375</v>
      </c>
      <c r="B299" s="4" t="s">
        <v>372</v>
      </c>
      <c r="C299" s="4" t="s">
        <v>77</v>
      </c>
      <c r="D299" s="38" t="s">
        <v>366</v>
      </c>
      <c r="E299" s="16" t="s">
        <v>81</v>
      </c>
      <c r="F299" s="16" t="s">
        <v>83</v>
      </c>
      <c r="G299" s="8"/>
      <c r="H299" s="8"/>
      <c r="I299" s="8"/>
    </row>
    <row r="300" spans="1:10" ht="30" x14ac:dyDescent="0.25">
      <c r="A300" s="4" t="s">
        <v>375</v>
      </c>
      <c r="B300" s="4" t="s">
        <v>372</v>
      </c>
      <c r="C300" s="4" t="s">
        <v>77</v>
      </c>
      <c r="D300" s="38" t="s">
        <v>367</v>
      </c>
      <c r="E300" s="16" t="s">
        <v>87</v>
      </c>
      <c r="F300" s="16" t="s">
        <v>83</v>
      </c>
      <c r="G300" s="8"/>
      <c r="H300" s="8"/>
      <c r="I300" s="8"/>
    </row>
    <row r="301" spans="1:10" ht="30" x14ac:dyDescent="0.25">
      <c r="A301" s="4" t="s">
        <v>375</v>
      </c>
      <c r="B301" s="4" t="s">
        <v>372</v>
      </c>
      <c r="C301" s="4" t="s">
        <v>77</v>
      </c>
      <c r="D301" s="38" t="s">
        <v>397</v>
      </c>
      <c r="E301" s="16" t="str">
        <f>"Completions-"&amp;D301</f>
        <v>Completions-Disciplines</v>
      </c>
      <c r="F301" s="16" t="s">
        <v>83</v>
      </c>
      <c r="G301" s="8"/>
      <c r="H301" s="8"/>
      <c r="I301" s="8"/>
    </row>
    <row r="302" spans="1:10" ht="30" x14ac:dyDescent="0.25">
      <c r="A302" s="4" t="s">
        <v>375</v>
      </c>
      <c r="B302" s="4" t="s">
        <v>372</v>
      </c>
      <c r="C302" s="4" t="s">
        <v>77</v>
      </c>
      <c r="D302" s="38" t="s">
        <v>393</v>
      </c>
      <c r="E302" s="16" t="str">
        <f>"Completions-"&amp;D302</f>
        <v>Completions-Format</v>
      </c>
      <c r="F302" s="3"/>
      <c r="G302" s="8"/>
      <c r="H302" s="8"/>
      <c r="I302" s="8"/>
    </row>
    <row r="303" spans="1:10" ht="30" x14ac:dyDescent="0.25">
      <c r="A303" s="4" t="s">
        <v>375</v>
      </c>
      <c r="B303" s="4" t="s">
        <v>372</v>
      </c>
      <c r="C303" s="4" t="s">
        <v>77</v>
      </c>
      <c r="D303" s="38" t="s">
        <v>368</v>
      </c>
      <c r="E303" s="16" t="str">
        <f>"Completions-"&amp;D303</f>
        <v>Completions-Champion</v>
      </c>
      <c r="F303" s="3"/>
      <c r="G303" s="8"/>
      <c r="H303" s="8"/>
      <c r="I303" s="8"/>
    </row>
    <row r="304" spans="1:10" ht="30" x14ac:dyDescent="0.25">
      <c r="A304" s="4" t="s">
        <v>375</v>
      </c>
      <c r="B304" s="4" t="s">
        <v>372</v>
      </c>
      <c r="C304" s="4" t="s">
        <v>77</v>
      </c>
      <c r="D304" s="38" t="s">
        <v>369</v>
      </c>
      <c r="E304" s="16" t="str">
        <f>"Completions-"&amp;D304</f>
        <v>Completions-Priority</v>
      </c>
      <c r="F304" s="3"/>
      <c r="G304" s="8"/>
      <c r="H304" s="8"/>
      <c r="I304" s="8"/>
    </row>
    <row r="305" spans="1:9" ht="30" x14ac:dyDescent="0.25">
      <c r="A305" s="4" t="s">
        <v>375</v>
      </c>
      <c r="B305" s="4" t="s">
        <v>372</v>
      </c>
      <c r="C305" s="4" t="s">
        <v>77</v>
      </c>
      <c r="D305" s="38" t="s">
        <v>394</v>
      </c>
      <c r="E305" s="16" t="s">
        <v>395</v>
      </c>
      <c r="F305" s="3"/>
      <c r="G305" s="8"/>
      <c r="H305" s="8"/>
      <c r="I305" s="8"/>
    </row>
    <row r="306" spans="1:9" ht="30" x14ac:dyDescent="0.25">
      <c r="A306" s="4" t="s">
        <v>375</v>
      </c>
      <c r="B306" s="4" t="s">
        <v>372</v>
      </c>
      <c r="C306" s="4" t="s">
        <v>77</v>
      </c>
      <c r="D306" s="38" t="s">
        <v>105</v>
      </c>
      <c r="E306" s="16" t="str">
        <f>"Completions-"&amp;D306</f>
        <v>Completions-Comments</v>
      </c>
      <c r="F306" s="3"/>
      <c r="G306" s="8"/>
      <c r="H306" s="8"/>
      <c r="I306" s="8"/>
    </row>
    <row r="307" spans="1:9" ht="30" x14ac:dyDescent="0.25">
      <c r="A307" s="4" t="s">
        <v>375</v>
      </c>
      <c r="B307" s="4" t="s">
        <v>372</v>
      </c>
      <c r="C307" s="4" t="s">
        <v>77</v>
      </c>
      <c r="D307" s="38" t="s">
        <v>391</v>
      </c>
      <c r="E307" s="16" t="s">
        <v>91</v>
      </c>
      <c r="F307" s="16" t="s">
        <v>392</v>
      </c>
      <c r="G307" s="8"/>
      <c r="H307" s="8"/>
      <c r="I307" s="8"/>
    </row>
    <row r="308" spans="1:9" ht="30" x14ac:dyDescent="0.25">
      <c r="A308" s="4" t="s">
        <v>375</v>
      </c>
      <c r="B308" s="4" t="s">
        <v>372</v>
      </c>
      <c r="C308" s="4" t="s">
        <v>95</v>
      </c>
      <c r="D308" s="38" t="e">
        <f>I308&amp;".txt"</f>
        <v>#REF!</v>
      </c>
      <c r="E308" s="3"/>
      <c r="F308" s="3"/>
      <c r="G308" s="16" t="s">
        <v>7</v>
      </c>
      <c r="H308" s="16" t="s">
        <v>400</v>
      </c>
      <c r="I308" s="16" t="e">
        <f>VLOOKUP(A308&amp;G308&amp;H308,#REF!,2,FALSE)</f>
        <v>#REF!</v>
      </c>
    </row>
    <row r="309" spans="1:9" ht="30" x14ac:dyDescent="0.25">
      <c r="A309" s="4" t="s">
        <v>375</v>
      </c>
      <c r="B309" s="4" t="s">
        <v>372</v>
      </c>
      <c r="C309" s="4" t="s">
        <v>96</v>
      </c>
      <c r="D309" s="38" t="e">
        <f>I309&amp;".txt"</f>
        <v>#REF!</v>
      </c>
      <c r="E309" s="16" t="s">
        <v>81</v>
      </c>
      <c r="F309" s="16" t="s">
        <v>83</v>
      </c>
      <c r="G309" s="16" t="s">
        <v>2</v>
      </c>
      <c r="H309" s="16" t="s">
        <v>400</v>
      </c>
      <c r="I309" s="16" t="e">
        <f>VLOOKUP(A309&amp;G309&amp;H309,#REF!,2,FALSE)</f>
        <v>#REF!</v>
      </c>
    </row>
    <row r="310" spans="1:9" ht="30" x14ac:dyDescent="0.25">
      <c r="A310" s="4" t="s">
        <v>375</v>
      </c>
      <c r="B310" s="4" t="s">
        <v>372</v>
      </c>
      <c r="C310" s="4" t="s">
        <v>96</v>
      </c>
      <c r="D310" s="38" t="e">
        <f>I310&amp;".txt"</f>
        <v>#REF!</v>
      </c>
      <c r="E310" s="16" t="s">
        <v>81</v>
      </c>
      <c r="F310" s="16" t="s">
        <v>392</v>
      </c>
      <c r="G310" s="16" t="s">
        <v>4</v>
      </c>
      <c r="H310" s="16" t="s">
        <v>4</v>
      </c>
      <c r="I310" s="16" t="e">
        <f>VLOOKUP(A310&amp;G310&amp;H310,#REF!,2,FALSE)</f>
        <v>#REF!</v>
      </c>
    </row>
    <row r="311" spans="1:9" ht="30" x14ac:dyDescent="0.25">
      <c r="A311" s="4" t="s">
        <v>375</v>
      </c>
      <c r="B311" s="4" t="s">
        <v>29</v>
      </c>
      <c r="C311" s="4" t="s">
        <v>77</v>
      </c>
      <c r="D311" s="16" t="s">
        <v>84</v>
      </c>
      <c r="E311" s="16" t="s">
        <v>81</v>
      </c>
      <c r="F311" s="3"/>
      <c r="G311" s="8"/>
      <c r="H311" s="8"/>
      <c r="I311" s="8"/>
    </row>
    <row r="312" spans="1:9" ht="30" x14ac:dyDescent="0.25">
      <c r="A312" s="4" t="s">
        <v>375</v>
      </c>
      <c r="B312" s="4" t="s">
        <v>29</v>
      </c>
      <c r="C312" s="4" t="s">
        <v>77</v>
      </c>
      <c r="D312" s="16" t="s">
        <v>82</v>
      </c>
      <c r="E312" s="16" t="s">
        <v>79</v>
      </c>
      <c r="F312" s="3"/>
      <c r="G312" s="8"/>
      <c r="H312" s="8"/>
      <c r="I312" s="8"/>
    </row>
    <row r="313" spans="1:9" ht="30" x14ac:dyDescent="0.25">
      <c r="A313" s="4" t="s">
        <v>375</v>
      </c>
      <c r="B313" s="4" t="s">
        <v>29</v>
      </c>
      <c r="C313" s="4" t="s">
        <v>77</v>
      </c>
      <c r="D313" s="16" t="s">
        <v>85</v>
      </c>
      <c r="E313" s="16" t="s">
        <v>85</v>
      </c>
      <c r="F313" s="3"/>
      <c r="G313" s="8"/>
      <c r="H313" s="8"/>
      <c r="I313" s="8"/>
    </row>
    <row r="314" spans="1:9" ht="30" x14ac:dyDescent="0.25">
      <c r="A314" s="4" t="s">
        <v>375</v>
      </c>
      <c r="B314" s="4" t="s">
        <v>29</v>
      </c>
      <c r="C314" s="4" t="s">
        <v>77</v>
      </c>
      <c r="D314" s="16" t="s">
        <v>86</v>
      </c>
      <c r="E314" s="16" t="s">
        <v>87</v>
      </c>
      <c r="F314" s="3"/>
      <c r="G314" s="8"/>
      <c r="H314" s="8"/>
      <c r="I314" s="8"/>
    </row>
    <row r="315" spans="1:9" ht="30" x14ac:dyDescent="0.25">
      <c r="A315" s="4" t="s">
        <v>375</v>
      </c>
      <c r="B315" s="4" t="s">
        <v>29</v>
      </c>
      <c r="C315" s="4" t="s">
        <v>77</v>
      </c>
      <c r="D315" s="16" t="s">
        <v>88</v>
      </c>
      <c r="E315" s="16" t="s">
        <v>88</v>
      </c>
      <c r="F315" s="3"/>
      <c r="G315" s="8"/>
      <c r="H315" s="8"/>
      <c r="I315" s="8"/>
    </row>
    <row r="316" spans="1:9" ht="30" x14ac:dyDescent="0.25">
      <c r="A316" s="4" t="s">
        <v>375</v>
      </c>
      <c r="B316" s="4" t="s">
        <v>29</v>
      </c>
      <c r="C316" s="4" t="s">
        <v>77</v>
      </c>
      <c r="D316" s="16" t="s">
        <v>97</v>
      </c>
      <c r="E316" s="16" t="s">
        <v>98</v>
      </c>
      <c r="F316" s="3"/>
      <c r="G316" s="8"/>
      <c r="H316" s="8"/>
      <c r="I316" s="8"/>
    </row>
    <row r="317" spans="1:9" ht="30" x14ac:dyDescent="0.25">
      <c r="A317" s="4" t="s">
        <v>375</v>
      </c>
      <c r="B317" s="4" t="s">
        <v>29</v>
      </c>
      <c r="C317" s="4" t="s">
        <v>77</v>
      </c>
      <c r="D317" s="16" t="s">
        <v>99</v>
      </c>
      <c r="E317" s="16" t="s">
        <v>99</v>
      </c>
      <c r="F317" s="3"/>
      <c r="G317" s="8"/>
      <c r="H317" s="8"/>
      <c r="I317" s="8"/>
    </row>
    <row r="318" spans="1:9" ht="30" x14ac:dyDescent="0.25">
      <c r="A318" s="4" t="s">
        <v>375</v>
      </c>
      <c r="B318" s="4" t="s">
        <v>29</v>
      </c>
      <c r="C318" s="4" t="s">
        <v>77</v>
      </c>
      <c r="D318" s="16" t="s">
        <v>100</v>
      </c>
      <c r="E318" s="16" t="s">
        <v>101</v>
      </c>
      <c r="F318" s="3"/>
      <c r="G318" s="8"/>
      <c r="H318" s="8"/>
      <c r="I318" s="8"/>
    </row>
    <row r="319" spans="1:9" ht="30" x14ac:dyDescent="0.25">
      <c r="A319" s="4" t="s">
        <v>375</v>
      </c>
      <c r="B319" s="4" t="s">
        <v>29</v>
      </c>
      <c r="C319" s="4" t="s">
        <v>77</v>
      </c>
      <c r="D319" s="16" t="s">
        <v>102</v>
      </c>
      <c r="E319" s="16" t="s">
        <v>102</v>
      </c>
      <c r="F319" s="3"/>
      <c r="G319" s="8"/>
      <c r="H319" s="8"/>
      <c r="I319" s="8"/>
    </row>
    <row r="320" spans="1:9" ht="30" x14ac:dyDescent="0.25">
      <c r="A320" s="4" t="s">
        <v>375</v>
      </c>
      <c r="B320" s="4" t="s">
        <v>29</v>
      </c>
      <c r="C320" s="4" t="s">
        <v>77</v>
      </c>
      <c r="D320" s="16" t="s">
        <v>25</v>
      </c>
      <c r="E320" s="16" t="s">
        <v>333</v>
      </c>
      <c r="F320" s="3"/>
      <c r="G320" s="8"/>
      <c r="H320" s="8"/>
      <c r="I320" s="8"/>
    </row>
    <row r="321" spans="1:9" ht="30" x14ac:dyDescent="0.25">
      <c r="A321" s="4" t="s">
        <v>375</v>
      </c>
      <c r="B321" s="4" t="s">
        <v>29</v>
      </c>
      <c r="C321" s="4" t="s">
        <v>77</v>
      </c>
      <c r="D321" s="16" t="s">
        <v>103</v>
      </c>
      <c r="E321" s="16" t="s">
        <v>335</v>
      </c>
      <c r="F321" s="3"/>
      <c r="G321" s="8"/>
      <c r="H321" s="8"/>
      <c r="I321" s="8"/>
    </row>
    <row r="322" spans="1:9" ht="30" x14ac:dyDescent="0.25">
      <c r="A322" s="4" t="s">
        <v>375</v>
      </c>
      <c r="B322" s="4" t="s">
        <v>29</v>
      </c>
      <c r="C322" s="4" t="s">
        <v>77</v>
      </c>
      <c r="D322" s="16" t="s">
        <v>78</v>
      </c>
      <c r="E322" s="16" t="s">
        <v>79</v>
      </c>
      <c r="F322" s="16" t="s">
        <v>104</v>
      </c>
      <c r="G322" s="8"/>
      <c r="H322" s="8"/>
      <c r="I322" s="8"/>
    </row>
    <row r="323" spans="1:9" ht="30" x14ac:dyDescent="0.25">
      <c r="A323" s="4" t="s">
        <v>375</v>
      </c>
      <c r="B323" s="4" t="s">
        <v>29</v>
      </c>
      <c r="C323" s="4" t="s">
        <v>77</v>
      </c>
      <c r="D323" s="16" t="s">
        <v>89</v>
      </c>
      <c r="E323" s="16" t="s">
        <v>89</v>
      </c>
      <c r="F323" s="16" t="s">
        <v>104</v>
      </c>
      <c r="G323" s="8"/>
      <c r="H323" s="8"/>
      <c r="I323" s="8"/>
    </row>
    <row r="324" spans="1:9" ht="30" x14ac:dyDescent="0.25">
      <c r="A324" s="4" t="s">
        <v>375</v>
      </c>
      <c r="B324" s="4" t="s">
        <v>29</v>
      </c>
      <c r="C324" s="4" t="s">
        <v>77</v>
      </c>
      <c r="D324" s="16" t="s">
        <v>90</v>
      </c>
      <c r="E324" s="16" t="s">
        <v>407</v>
      </c>
      <c r="F324" s="16" t="s">
        <v>204</v>
      </c>
      <c r="G324" s="8"/>
      <c r="H324" s="8"/>
      <c r="I324" s="8"/>
    </row>
    <row r="325" spans="1:9" ht="30" x14ac:dyDescent="0.25">
      <c r="A325" s="4" t="s">
        <v>375</v>
      </c>
      <c r="B325" s="4" t="s">
        <v>29</v>
      </c>
      <c r="C325" s="4" t="s">
        <v>77</v>
      </c>
      <c r="D325" s="16" t="s">
        <v>93</v>
      </c>
      <c r="E325" s="16" t="s">
        <v>93</v>
      </c>
      <c r="F325" s="16" t="s">
        <v>104</v>
      </c>
      <c r="G325" s="8"/>
      <c r="H325" s="8"/>
      <c r="I325" s="8"/>
    </row>
    <row r="326" spans="1:9" ht="30" x14ac:dyDescent="0.25">
      <c r="A326" s="4" t="s">
        <v>375</v>
      </c>
      <c r="B326" s="4" t="s">
        <v>29</v>
      </c>
      <c r="C326" s="4" t="s">
        <v>77</v>
      </c>
      <c r="D326" s="16" t="s">
        <v>105</v>
      </c>
      <c r="E326" s="16" t="s">
        <v>105</v>
      </c>
      <c r="F326" s="3"/>
      <c r="G326" s="8"/>
      <c r="H326" s="8"/>
      <c r="I326" s="8"/>
    </row>
    <row r="327" spans="1:9" ht="30" x14ac:dyDescent="0.25">
      <c r="A327" s="4" t="s">
        <v>375</v>
      </c>
      <c r="B327" s="4" t="s">
        <v>29</v>
      </c>
      <c r="C327" s="4" t="s">
        <v>95</v>
      </c>
      <c r="D327" s="16" t="e">
        <f>I327&amp;".txt"</f>
        <v>#REF!</v>
      </c>
      <c r="E327" s="16" t="s">
        <v>81</v>
      </c>
      <c r="F327" s="3"/>
      <c r="G327" s="16" t="s">
        <v>2</v>
      </c>
      <c r="H327" s="16" t="s">
        <v>59</v>
      </c>
      <c r="I327" s="16" t="e">
        <f>VLOOKUP(A327&amp;G327&amp;H327,#REF!,2,FALSE)</f>
        <v>#REF!</v>
      </c>
    </row>
    <row r="328" spans="1:9" ht="30" x14ac:dyDescent="0.25">
      <c r="A328" s="4" t="s">
        <v>375</v>
      </c>
      <c r="B328" s="4" t="s">
        <v>29</v>
      </c>
      <c r="C328" s="4" t="s">
        <v>96</v>
      </c>
      <c r="D328" s="16" t="e">
        <f>I328&amp;".txt"</f>
        <v>#REF!</v>
      </c>
      <c r="E328" s="16" t="s">
        <v>81</v>
      </c>
      <c r="F328" s="16" t="s">
        <v>104</v>
      </c>
      <c r="G328" s="16" t="s">
        <v>7</v>
      </c>
      <c r="H328" s="16" t="s">
        <v>60</v>
      </c>
      <c r="I328" s="16" t="e">
        <f>VLOOKUP(A328&amp;G328&amp;H328,#REF!,2,FALSE)</f>
        <v>#REF!</v>
      </c>
    </row>
    <row r="329" spans="1:9" x14ac:dyDescent="0.25">
      <c r="A329" s="8"/>
      <c r="B329" s="8"/>
      <c r="C329" s="8"/>
      <c r="D329" s="8"/>
      <c r="E329" s="8"/>
      <c r="F329" s="8"/>
      <c r="G329" s="8"/>
      <c r="H329" s="8"/>
      <c r="I329" s="8"/>
    </row>
    <row r="330" spans="1:9" x14ac:dyDescent="0.25">
      <c r="A330" s="4"/>
      <c r="B330" s="4"/>
      <c r="C330" s="4"/>
      <c r="D330" s="16"/>
      <c r="E330" s="16"/>
      <c r="F330" s="3"/>
      <c r="G330" s="8"/>
      <c r="H330" s="8"/>
      <c r="I330" s="8"/>
    </row>
    <row r="331" spans="1:9" x14ac:dyDescent="0.25">
      <c r="G331" s="8"/>
      <c r="H331" s="8"/>
      <c r="I331" s="8"/>
    </row>
    <row r="332" spans="1:9" x14ac:dyDescent="0.25">
      <c r="G332" s="8"/>
      <c r="H332" s="8"/>
      <c r="I332" s="8"/>
    </row>
    <row r="333" spans="1:9" x14ac:dyDescent="0.25">
      <c r="G333" s="8"/>
      <c r="H333" s="8"/>
      <c r="I333" s="8"/>
    </row>
    <row r="334" spans="1:9" x14ac:dyDescent="0.25">
      <c r="G334" s="8"/>
      <c r="H334" s="8"/>
      <c r="I334" s="8"/>
    </row>
    <row r="335" spans="1:9" x14ac:dyDescent="0.25">
      <c r="G335" s="8"/>
      <c r="H335" s="8"/>
      <c r="I335" s="8"/>
    </row>
    <row r="336" spans="1:9" x14ac:dyDescent="0.25">
      <c r="G336" s="8"/>
      <c r="H336" s="8"/>
      <c r="I336" s="8"/>
    </row>
    <row r="337" spans="1:9" x14ac:dyDescent="0.25">
      <c r="A337" s="4" t="s">
        <v>1299</v>
      </c>
      <c r="B337" s="4" t="s">
        <v>1051</v>
      </c>
      <c r="C337" s="4" t="s">
        <v>77</v>
      </c>
      <c r="D337" s="16" t="s">
        <v>997</v>
      </c>
      <c r="E337" s="16" t="s">
        <v>203</v>
      </c>
      <c r="G337" s="8"/>
      <c r="H337" s="8"/>
      <c r="I337" s="8"/>
    </row>
    <row r="338" spans="1:9" x14ac:dyDescent="0.25">
      <c r="A338" s="4" t="s">
        <v>1299</v>
      </c>
      <c r="B338" s="4" t="s">
        <v>1051</v>
      </c>
      <c r="C338" s="4" t="s">
        <v>77</v>
      </c>
      <c r="D338" s="16" t="s">
        <v>905</v>
      </c>
      <c r="E338" s="16" t="s">
        <v>203</v>
      </c>
      <c r="G338" s="8"/>
      <c r="H338" s="8"/>
      <c r="I338" s="8"/>
    </row>
    <row r="339" spans="1:9" x14ac:dyDescent="0.25">
      <c r="A339" s="4" t="s">
        <v>1299</v>
      </c>
      <c r="B339" s="4" t="s">
        <v>1051</v>
      </c>
      <c r="C339" s="4" t="s">
        <v>77</v>
      </c>
      <c r="D339" s="16" t="s">
        <v>998</v>
      </c>
      <c r="E339" s="16" t="s">
        <v>203</v>
      </c>
      <c r="G339" s="8"/>
      <c r="H339" s="8"/>
      <c r="I339" s="8"/>
    </row>
    <row r="340" spans="1:9" x14ac:dyDescent="0.25">
      <c r="A340" s="4" t="s">
        <v>1299</v>
      </c>
      <c r="B340" s="4" t="s">
        <v>1051</v>
      </c>
      <c r="C340" s="4" t="s">
        <v>77</v>
      </c>
      <c r="D340" s="16" t="s">
        <v>906</v>
      </c>
      <c r="E340" s="16" t="s">
        <v>203</v>
      </c>
      <c r="G340" s="8"/>
      <c r="H340" s="8"/>
      <c r="I340" s="8"/>
    </row>
    <row r="341" spans="1:9" x14ac:dyDescent="0.25">
      <c r="A341" s="4" t="s">
        <v>1299</v>
      </c>
      <c r="B341" s="4" t="s">
        <v>1051</v>
      </c>
      <c r="C341" s="4" t="s">
        <v>77</v>
      </c>
      <c r="D341" s="16" t="s">
        <v>907</v>
      </c>
      <c r="E341" s="16" t="s">
        <v>203</v>
      </c>
      <c r="G341" s="8"/>
      <c r="H341" s="8"/>
      <c r="I341" s="8"/>
    </row>
    <row r="342" spans="1:9" x14ac:dyDescent="0.25">
      <c r="A342" s="4" t="s">
        <v>1299</v>
      </c>
      <c r="B342" s="4" t="s">
        <v>1051</v>
      </c>
      <c r="C342" s="4" t="s">
        <v>77</v>
      </c>
      <c r="D342" s="16" t="s">
        <v>999</v>
      </c>
      <c r="E342" s="16" t="s">
        <v>203</v>
      </c>
      <c r="G342" s="8"/>
      <c r="H342" s="8"/>
      <c r="I342" s="8"/>
    </row>
    <row r="343" spans="1:9" x14ac:dyDescent="0.25">
      <c r="A343" s="4" t="s">
        <v>1299</v>
      </c>
      <c r="B343" s="4" t="s">
        <v>1051</v>
      </c>
      <c r="C343" s="4" t="s">
        <v>77</v>
      </c>
      <c r="D343" s="16" t="s">
        <v>908</v>
      </c>
      <c r="E343" s="16" t="s">
        <v>203</v>
      </c>
      <c r="G343" s="8"/>
      <c r="H343" s="8"/>
      <c r="I343" s="8"/>
    </row>
    <row r="344" spans="1:9" x14ac:dyDescent="0.25">
      <c r="A344" s="4" t="s">
        <v>1299</v>
      </c>
      <c r="B344" s="4" t="s">
        <v>1051</v>
      </c>
      <c r="C344" s="4" t="s">
        <v>77</v>
      </c>
      <c r="D344" s="16" t="s">
        <v>1000</v>
      </c>
      <c r="E344" s="16" t="s">
        <v>203</v>
      </c>
      <c r="G344" s="8"/>
      <c r="H344" s="8"/>
      <c r="I344" s="8"/>
    </row>
    <row r="345" spans="1:9" x14ac:dyDescent="0.25">
      <c r="A345" s="4" t="s">
        <v>1299</v>
      </c>
      <c r="B345" s="4" t="s">
        <v>1051</v>
      </c>
      <c r="C345" s="4" t="s">
        <v>77</v>
      </c>
      <c r="D345" s="16" t="s">
        <v>900</v>
      </c>
      <c r="E345" s="16" t="s">
        <v>203</v>
      </c>
      <c r="G345" s="8"/>
      <c r="H345" s="8"/>
      <c r="I345" s="8"/>
    </row>
    <row r="346" spans="1:9" x14ac:dyDescent="0.25">
      <c r="A346" s="4" t="s">
        <v>1299</v>
      </c>
      <c r="B346" s="4" t="s">
        <v>1051</v>
      </c>
      <c r="C346" s="4" t="s">
        <v>77</v>
      </c>
      <c r="D346" s="16" t="s">
        <v>1001</v>
      </c>
      <c r="E346" s="16" t="s">
        <v>203</v>
      </c>
      <c r="G346" s="8"/>
      <c r="H346" s="8"/>
      <c r="I346" s="8"/>
    </row>
    <row r="347" spans="1:9" x14ac:dyDescent="0.25">
      <c r="A347" s="4" t="s">
        <v>1299</v>
      </c>
      <c r="B347" s="4" t="s">
        <v>1051</v>
      </c>
      <c r="C347" s="4" t="s">
        <v>77</v>
      </c>
      <c r="D347" s="16" t="s">
        <v>1002</v>
      </c>
      <c r="E347" s="16" t="s">
        <v>203</v>
      </c>
      <c r="G347" s="8"/>
      <c r="H347" s="8"/>
      <c r="I347" s="8"/>
    </row>
    <row r="348" spans="1:9" x14ac:dyDescent="0.25">
      <c r="A348" s="4" t="s">
        <v>1299</v>
      </c>
      <c r="B348" s="4" t="s">
        <v>1051</v>
      </c>
      <c r="C348" s="4" t="s">
        <v>77</v>
      </c>
      <c r="D348" s="16" t="s">
        <v>78</v>
      </c>
      <c r="E348" s="16" t="s">
        <v>79</v>
      </c>
      <c r="G348" s="8"/>
      <c r="H348" s="8"/>
      <c r="I348" s="8"/>
    </row>
    <row r="349" spans="1:9" x14ac:dyDescent="0.25">
      <c r="A349" s="4" t="s">
        <v>1299</v>
      </c>
      <c r="B349" s="4" t="s">
        <v>1051</v>
      </c>
      <c r="C349" s="4" t="s">
        <v>77</v>
      </c>
      <c r="D349" s="16" t="s">
        <v>477</v>
      </c>
      <c r="E349" s="16" t="s">
        <v>477</v>
      </c>
      <c r="G349" s="8"/>
      <c r="H349" s="8"/>
      <c r="I349" s="8"/>
    </row>
    <row r="350" spans="1:9" x14ac:dyDescent="0.25">
      <c r="A350" s="4" t="s">
        <v>1299</v>
      </c>
      <c r="B350" s="4" t="s">
        <v>1051</v>
      </c>
      <c r="C350" s="4" t="s">
        <v>77</v>
      </c>
      <c r="D350" s="16" t="s">
        <v>80</v>
      </c>
      <c r="E350" s="16" t="s">
        <v>1210</v>
      </c>
      <c r="G350" s="8"/>
      <c r="H350" s="8"/>
      <c r="I350" s="8"/>
    </row>
    <row r="351" spans="1:9" x14ac:dyDescent="0.25">
      <c r="A351" s="4" t="s">
        <v>1299</v>
      </c>
      <c r="B351" s="4" t="s">
        <v>1051</v>
      </c>
      <c r="C351" s="4" t="s">
        <v>77</v>
      </c>
      <c r="D351" s="16" t="s">
        <v>82</v>
      </c>
      <c r="E351" s="16" t="s">
        <v>79</v>
      </c>
      <c r="F351" s="16" t="s">
        <v>83</v>
      </c>
      <c r="G351" s="8"/>
      <c r="H351" s="8"/>
      <c r="I351" s="8"/>
    </row>
    <row r="352" spans="1:9" x14ac:dyDescent="0.25">
      <c r="A352" s="4" t="s">
        <v>1299</v>
      </c>
      <c r="B352" s="4" t="s">
        <v>1051</v>
      </c>
      <c r="C352" s="4" t="s">
        <v>77</v>
      </c>
      <c r="D352" s="16" t="s">
        <v>84</v>
      </c>
      <c r="E352" s="16" t="s">
        <v>1210</v>
      </c>
      <c r="F352" s="16" t="s">
        <v>83</v>
      </c>
      <c r="G352" s="8"/>
      <c r="H352" s="8"/>
      <c r="I352" s="8"/>
    </row>
    <row r="353" spans="1:9" x14ac:dyDescent="0.25">
      <c r="A353" s="4" t="s">
        <v>1299</v>
      </c>
      <c r="B353" s="4" t="s">
        <v>1051</v>
      </c>
      <c r="C353" s="4" t="s">
        <v>77</v>
      </c>
      <c r="D353" s="16" t="s">
        <v>85</v>
      </c>
      <c r="E353" s="16" t="s">
        <v>85</v>
      </c>
      <c r="F353" s="16" t="s">
        <v>83</v>
      </c>
      <c r="G353" s="8"/>
      <c r="H353" s="8"/>
      <c r="I353" s="8"/>
    </row>
    <row r="354" spans="1:9" x14ac:dyDescent="0.25">
      <c r="A354" s="4" t="s">
        <v>1299</v>
      </c>
      <c r="B354" s="4" t="s">
        <v>1051</v>
      </c>
      <c r="C354" s="4" t="s">
        <v>77</v>
      </c>
      <c r="D354" s="16" t="s">
        <v>1207</v>
      </c>
      <c r="E354" s="16" t="s">
        <v>1208</v>
      </c>
      <c r="F354" s="16" t="s">
        <v>83</v>
      </c>
      <c r="G354" s="8"/>
      <c r="H354" s="8"/>
      <c r="I354" s="8"/>
    </row>
    <row r="355" spans="1:9" x14ac:dyDescent="0.25">
      <c r="A355" s="4" t="s">
        <v>1299</v>
      </c>
      <c r="B355" s="4" t="s">
        <v>1051</v>
      </c>
      <c r="C355" s="4" t="s">
        <v>77</v>
      </c>
      <c r="D355" s="16" t="s">
        <v>994</v>
      </c>
      <c r="E355" s="16" t="s">
        <v>474</v>
      </c>
      <c r="F355" s="16" t="s">
        <v>83</v>
      </c>
      <c r="G355" s="8"/>
      <c r="H355" s="8"/>
      <c r="I355" s="8"/>
    </row>
    <row r="356" spans="1:9" x14ac:dyDescent="0.25">
      <c r="A356" s="4" t="s">
        <v>1299</v>
      </c>
      <c r="B356" s="4" t="s">
        <v>1051</v>
      </c>
      <c r="C356" s="4" t="s">
        <v>77</v>
      </c>
      <c r="D356" s="16" t="s">
        <v>86</v>
      </c>
      <c r="E356" s="16" t="s">
        <v>87</v>
      </c>
      <c r="F356" s="16" t="s">
        <v>83</v>
      </c>
      <c r="G356" s="8"/>
      <c r="H356" s="8"/>
      <c r="I356" s="8"/>
    </row>
    <row r="357" spans="1:9" x14ac:dyDescent="0.25">
      <c r="A357" s="4" t="s">
        <v>1299</v>
      </c>
      <c r="B357" s="4" t="s">
        <v>1051</v>
      </c>
      <c r="C357" s="4" t="s">
        <v>77</v>
      </c>
      <c r="D357" s="16" t="s">
        <v>88</v>
      </c>
      <c r="E357" s="16" t="s">
        <v>88</v>
      </c>
      <c r="F357" s="16" t="s">
        <v>83</v>
      </c>
      <c r="G357" s="8"/>
      <c r="H357" s="8"/>
      <c r="I357" s="8"/>
    </row>
    <row r="358" spans="1:9" x14ac:dyDescent="0.25">
      <c r="A358" s="4" t="s">
        <v>1299</v>
      </c>
      <c r="B358" s="4" t="s">
        <v>1051</v>
      </c>
      <c r="C358" s="4" t="s">
        <v>77</v>
      </c>
      <c r="D358" s="16" t="s">
        <v>99</v>
      </c>
      <c r="E358" s="16" t="s">
        <v>99</v>
      </c>
      <c r="F358" s="16" t="s">
        <v>83</v>
      </c>
      <c r="G358" s="8"/>
      <c r="H358" s="8"/>
      <c r="I358" s="8"/>
    </row>
    <row r="359" spans="1:9" x14ac:dyDescent="0.25">
      <c r="A359" s="4" t="s">
        <v>1299</v>
      </c>
      <c r="B359" s="4" t="s">
        <v>1051</v>
      </c>
      <c r="C359" s="4" t="s">
        <v>77</v>
      </c>
      <c r="D359" s="16" t="s">
        <v>97</v>
      </c>
      <c r="E359" s="16" t="s">
        <v>97</v>
      </c>
      <c r="F359" s="16" t="s">
        <v>83</v>
      </c>
      <c r="G359" s="8"/>
      <c r="H359" s="8"/>
      <c r="I359" s="8"/>
    </row>
    <row r="360" spans="1:9" x14ac:dyDescent="0.25">
      <c r="A360" s="4" t="s">
        <v>1299</v>
      </c>
      <c r="B360" s="4" t="s">
        <v>1051</v>
      </c>
      <c r="C360" s="4" t="s">
        <v>77</v>
      </c>
      <c r="D360" s="16" t="s">
        <v>25</v>
      </c>
      <c r="E360" s="16" t="s">
        <v>25</v>
      </c>
      <c r="F360" s="16" t="s">
        <v>83</v>
      </c>
      <c r="G360" s="8"/>
      <c r="H360" s="8"/>
      <c r="I360" s="8"/>
    </row>
    <row r="361" spans="1:9" x14ac:dyDescent="0.25">
      <c r="A361" s="4" t="s">
        <v>1299</v>
      </c>
      <c r="B361" s="4" t="s">
        <v>1051</v>
      </c>
      <c r="C361" s="4" t="s">
        <v>77</v>
      </c>
      <c r="D361" s="16" t="s">
        <v>89</v>
      </c>
      <c r="E361" s="16" t="s">
        <v>89</v>
      </c>
      <c r="G361" s="8"/>
      <c r="H361" s="8"/>
      <c r="I361" s="8"/>
    </row>
    <row r="362" spans="1:9" x14ac:dyDescent="0.25">
      <c r="A362" s="4" t="s">
        <v>1299</v>
      </c>
      <c r="B362" s="4" t="s">
        <v>1051</v>
      </c>
      <c r="C362" s="4" t="s">
        <v>77</v>
      </c>
      <c r="D362" s="16" t="s">
        <v>90</v>
      </c>
      <c r="E362" s="16" t="s">
        <v>90</v>
      </c>
      <c r="G362" s="8"/>
      <c r="H362" s="8"/>
      <c r="I362" s="8"/>
    </row>
    <row r="363" spans="1:9" x14ac:dyDescent="0.25">
      <c r="A363" s="4" t="s">
        <v>1299</v>
      </c>
      <c r="B363" s="4" t="s">
        <v>1051</v>
      </c>
      <c r="C363" s="4" t="s">
        <v>77</v>
      </c>
      <c r="D363" s="16" t="s">
        <v>93</v>
      </c>
      <c r="E363" s="16" t="s">
        <v>93</v>
      </c>
      <c r="G363" s="8"/>
      <c r="H363" s="8"/>
      <c r="I363" s="8"/>
    </row>
    <row r="364" spans="1:9" ht="30" x14ac:dyDescent="0.25">
      <c r="A364" s="4" t="s">
        <v>1299</v>
      </c>
      <c r="B364" s="4" t="s">
        <v>1051</v>
      </c>
      <c r="C364" s="4" t="s">
        <v>77</v>
      </c>
      <c r="D364" s="16" t="s">
        <v>94</v>
      </c>
      <c r="E364" s="16" t="s">
        <v>94</v>
      </c>
      <c r="G364" s="16" t="s">
        <v>1189</v>
      </c>
      <c r="H364" s="16" t="s">
        <v>60</v>
      </c>
      <c r="I364" s="16" t="str">
        <f>VLOOKUP(A365&amp;G364&amp;H364,Views!$E$1:$F$145,2,FALSE)</f>
        <v>01 Verification-Design</v>
      </c>
    </row>
    <row r="365" spans="1:9" ht="30" x14ac:dyDescent="0.25">
      <c r="A365" s="4" t="s">
        <v>1299</v>
      </c>
      <c r="B365" s="4" t="s">
        <v>1051</v>
      </c>
      <c r="C365" s="4" t="s">
        <v>95</v>
      </c>
      <c r="D365" s="16" t="str">
        <f t="shared" ref="D365:D366" si="0">I364&amp;".txt"</f>
        <v>01 Verification-Design.txt</v>
      </c>
      <c r="E365" s="16"/>
      <c r="G365" s="16" t="s">
        <v>259</v>
      </c>
      <c r="H365" s="16" t="s">
        <v>59</v>
      </c>
      <c r="I365" s="16" t="str">
        <f>VLOOKUP(A366&amp;G365&amp;H365,Views!$E$1:$F$145,2,FALSE)</f>
        <v>General Requirements View</v>
      </c>
    </row>
    <row r="366" spans="1:9" x14ac:dyDescent="0.25">
      <c r="A366" s="4" t="s">
        <v>1299</v>
      </c>
      <c r="B366" s="4" t="s">
        <v>1051</v>
      </c>
      <c r="C366" s="4" t="s">
        <v>96</v>
      </c>
      <c r="D366" s="16" t="str">
        <f t="shared" si="0"/>
        <v>General Requirements View.txt</v>
      </c>
      <c r="E366" s="16" t="s">
        <v>81</v>
      </c>
      <c r="F366" s="16" t="s">
        <v>83</v>
      </c>
      <c r="G366" s="8"/>
      <c r="H366" s="8"/>
      <c r="I366" s="8"/>
    </row>
    <row r="367" spans="1:9" x14ac:dyDescent="0.25">
      <c r="G367" s="8"/>
      <c r="H367" s="8"/>
      <c r="I367" s="8"/>
    </row>
    <row r="368" spans="1:9" x14ac:dyDescent="0.25">
      <c r="A368" s="4" t="s">
        <v>1299</v>
      </c>
      <c r="B368" s="4" t="s">
        <v>1420</v>
      </c>
      <c r="C368" s="4" t="s">
        <v>77</v>
      </c>
      <c r="D368" s="22" t="s">
        <v>749</v>
      </c>
      <c r="E368" s="22" t="s">
        <v>203</v>
      </c>
      <c r="G368" s="8"/>
      <c r="H368" s="8"/>
      <c r="I368" s="8"/>
    </row>
    <row r="369" spans="1:9" x14ac:dyDescent="0.25">
      <c r="A369" s="4" t="s">
        <v>1299</v>
      </c>
      <c r="B369" s="4" t="s">
        <v>1420</v>
      </c>
      <c r="C369" s="4" t="s">
        <v>77</v>
      </c>
      <c r="D369" s="22" t="s">
        <v>729</v>
      </c>
      <c r="E369" s="22" t="s">
        <v>203</v>
      </c>
      <c r="G369" s="8"/>
      <c r="H369" s="8"/>
      <c r="I369" s="8"/>
    </row>
    <row r="370" spans="1:9" x14ac:dyDescent="0.25">
      <c r="A370" s="4" t="s">
        <v>1299</v>
      </c>
      <c r="B370" s="4" t="s">
        <v>1420</v>
      </c>
      <c r="C370" s="4" t="s">
        <v>77</v>
      </c>
      <c r="D370" s="22" t="s">
        <v>750</v>
      </c>
      <c r="E370" s="22" t="s">
        <v>203</v>
      </c>
      <c r="G370" s="8"/>
      <c r="H370" s="8"/>
      <c r="I370" s="8"/>
    </row>
    <row r="371" spans="1:9" x14ac:dyDescent="0.25">
      <c r="A371" s="4" t="s">
        <v>1299</v>
      </c>
      <c r="B371" s="4" t="s">
        <v>1420</v>
      </c>
      <c r="C371" s="4" t="s">
        <v>77</v>
      </c>
      <c r="D371" s="22" t="s">
        <v>751</v>
      </c>
      <c r="E371" s="22" t="s">
        <v>203</v>
      </c>
      <c r="G371" s="8"/>
      <c r="H371" s="8"/>
      <c r="I371" s="8"/>
    </row>
    <row r="372" spans="1:9" x14ac:dyDescent="0.25">
      <c r="A372" s="4" t="s">
        <v>1299</v>
      </c>
      <c r="B372" s="4" t="s">
        <v>1420</v>
      </c>
      <c r="C372" s="4" t="s">
        <v>77</v>
      </c>
      <c r="D372" s="22" t="s">
        <v>752</v>
      </c>
      <c r="E372" s="22" t="s">
        <v>203</v>
      </c>
      <c r="G372" s="8"/>
      <c r="H372" s="8"/>
      <c r="I372" s="8"/>
    </row>
    <row r="373" spans="1:9" x14ac:dyDescent="0.25">
      <c r="A373" s="4" t="s">
        <v>1299</v>
      </c>
      <c r="B373" s="4" t="s">
        <v>1420</v>
      </c>
      <c r="C373" s="4" t="s">
        <v>77</v>
      </c>
      <c r="D373" s="22" t="s">
        <v>733</v>
      </c>
      <c r="E373" s="22" t="s">
        <v>203</v>
      </c>
      <c r="G373" s="8"/>
      <c r="H373" s="8"/>
      <c r="I373" s="8"/>
    </row>
    <row r="374" spans="1:9" x14ac:dyDescent="0.25">
      <c r="A374" s="4" t="s">
        <v>1299</v>
      </c>
      <c r="B374" s="4" t="s">
        <v>1420</v>
      </c>
      <c r="C374" s="4" t="s">
        <v>77</v>
      </c>
      <c r="D374" s="22" t="s">
        <v>734</v>
      </c>
      <c r="E374" s="22" t="s">
        <v>203</v>
      </c>
      <c r="G374" s="8"/>
      <c r="H374" s="8"/>
      <c r="I374" s="8"/>
    </row>
    <row r="375" spans="1:9" x14ac:dyDescent="0.25">
      <c r="A375" s="4" t="s">
        <v>1299</v>
      </c>
      <c r="B375" s="4" t="s">
        <v>1420</v>
      </c>
      <c r="C375" s="4" t="s">
        <v>77</v>
      </c>
      <c r="D375" s="22" t="s">
        <v>753</v>
      </c>
      <c r="E375" s="22" t="s">
        <v>203</v>
      </c>
      <c r="G375" s="8"/>
      <c r="H375" s="8"/>
      <c r="I375" s="8"/>
    </row>
    <row r="376" spans="1:9" x14ac:dyDescent="0.25">
      <c r="A376" s="4" t="s">
        <v>1299</v>
      </c>
      <c r="B376" s="4" t="s">
        <v>1420</v>
      </c>
      <c r="C376" s="4" t="s">
        <v>77</v>
      </c>
      <c r="D376" s="22" t="s">
        <v>754</v>
      </c>
      <c r="E376" s="22" t="s">
        <v>203</v>
      </c>
      <c r="G376" s="8"/>
      <c r="H376" s="8"/>
      <c r="I376" s="8"/>
    </row>
    <row r="377" spans="1:9" x14ac:dyDescent="0.25">
      <c r="A377" s="4" t="s">
        <v>1299</v>
      </c>
      <c r="B377" s="4" t="s">
        <v>1420</v>
      </c>
      <c r="C377" s="4" t="s">
        <v>77</v>
      </c>
      <c r="D377" s="22" t="s">
        <v>878</v>
      </c>
      <c r="E377" s="22" t="s">
        <v>203</v>
      </c>
      <c r="G377" s="8"/>
      <c r="H377" s="8"/>
      <c r="I377" s="8"/>
    </row>
    <row r="378" spans="1:9" x14ac:dyDescent="0.25">
      <c r="A378" s="4" t="s">
        <v>1299</v>
      </c>
      <c r="B378" s="4" t="s">
        <v>1420</v>
      </c>
      <c r="C378" s="4" t="s">
        <v>77</v>
      </c>
      <c r="D378" s="22" t="s">
        <v>946</v>
      </c>
      <c r="E378" s="22" t="s">
        <v>203</v>
      </c>
      <c r="I378" s="8"/>
    </row>
    <row r="379" spans="1:9" x14ac:dyDescent="0.25">
      <c r="A379" s="4" t="s">
        <v>1299</v>
      </c>
      <c r="B379" s="4" t="s">
        <v>1420</v>
      </c>
      <c r="C379" s="4" t="s">
        <v>77</v>
      </c>
      <c r="D379" s="16" t="s">
        <v>477</v>
      </c>
      <c r="E379" s="16" t="s">
        <v>477</v>
      </c>
      <c r="I379" s="8"/>
    </row>
    <row r="380" spans="1:9" x14ac:dyDescent="0.25">
      <c r="A380" s="4" t="s">
        <v>1299</v>
      </c>
      <c r="B380" s="4" t="s">
        <v>1420</v>
      </c>
      <c r="C380" s="4" t="s">
        <v>77</v>
      </c>
      <c r="D380" s="16" t="s">
        <v>84</v>
      </c>
      <c r="E380" s="16" t="s">
        <v>81</v>
      </c>
      <c r="I380" s="8"/>
    </row>
    <row r="381" spans="1:9" x14ac:dyDescent="0.25">
      <c r="A381" s="4" t="s">
        <v>1299</v>
      </c>
      <c r="B381" s="4" t="s">
        <v>1420</v>
      </c>
      <c r="C381" s="4" t="s">
        <v>77</v>
      </c>
      <c r="D381" s="16" t="s">
        <v>1210</v>
      </c>
      <c r="E381" s="16" t="s">
        <v>1210</v>
      </c>
      <c r="I381" s="8"/>
    </row>
    <row r="382" spans="1:9" x14ac:dyDescent="0.25">
      <c r="A382" s="4" t="s">
        <v>1299</v>
      </c>
      <c r="B382" s="4" t="s">
        <v>1420</v>
      </c>
      <c r="C382" s="4" t="s">
        <v>77</v>
      </c>
      <c r="D382" s="16" t="s">
        <v>82</v>
      </c>
      <c r="E382" s="16" t="s">
        <v>79</v>
      </c>
      <c r="I382" s="8"/>
    </row>
    <row r="383" spans="1:9" x14ac:dyDescent="0.25">
      <c r="A383" s="4" t="s">
        <v>1299</v>
      </c>
      <c r="B383" s="4" t="s">
        <v>1420</v>
      </c>
      <c r="C383" s="4" t="s">
        <v>77</v>
      </c>
      <c r="D383" s="16" t="s">
        <v>85</v>
      </c>
      <c r="E383" s="16" t="s">
        <v>85</v>
      </c>
      <c r="I383" s="8"/>
    </row>
    <row r="384" spans="1:9" x14ac:dyDescent="0.25">
      <c r="A384" s="4" t="s">
        <v>1299</v>
      </c>
      <c r="B384" s="4" t="s">
        <v>1420</v>
      </c>
      <c r="C384" s="4" t="s">
        <v>77</v>
      </c>
      <c r="D384" s="16" t="s">
        <v>86</v>
      </c>
      <c r="E384" s="16" t="s">
        <v>87</v>
      </c>
      <c r="I384" s="8"/>
    </row>
    <row r="385" spans="1:9" x14ac:dyDescent="0.25">
      <c r="A385" s="4" t="s">
        <v>1299</v>
      </c>
      <c r="B385" s="4" t="s">
        <v>1420</v>
      </c>
      <c r="C385" s="4" t="s">
        <v>77</v>
      </c>
      <c r="D385" s="16" t="s">
        <v>88</v>
      </c>
      <c r="E385" s="16" t="s">
        <v>88</v>
      </c>
      <c r="I385" s="8"/>
    </row>
    <row r="386" spans="1:9" x14ac:dyDescent="0.25">
      <c r="A386" s="4" t="s">
        <v>1299</v>
      </c>
      <c r="B386" s="4" t="s">
        <v>1420</v>
      </c>
      <c r="C386" s="4" t="s">
        <v>77</v>
      </c>
      <c r="D386" s="16" t="s">
        <v>97</v>
      </c>
      <c r="E386" s="16" t="s">
        <v>98</v>
      </c>
      <c r="I386" s="8"/>
    </row>
    <row r="387" spans="1:9" x14ac:dyDescent="0.25">
      <c r="A387" s="4" t="s">
        <v>1299</v>
      </c>
      <c r="B387" s="4" t="s">
        <v>1420</v>
      </c>
      <c r="C387" s="4" t="s">
        <v>77</v>
      </c>
      <c r="D387" s="16" t="s">
        <v>99</v>
      </c>
      <c r="E387" s="16" t="s">
        <v>99</v>
      </c>
      <c r="I387" s="8"/>
    </row>
    <row r="388" spans="1:9" x14ac:dyDescent="0.25">
      <c r="A388" s="4" t="s">
        <v>1299</v>
      </c>
      <c r="B388" s="4" t="s">
        <v>1420</v>
      </c>
      <c r="C388" s="4" t="s">
        <v>77</v>
      </c>
      <c r="D388" s="16" t="s">
        <v>100</v>
      </c>
      <c r="E388" s="16" t="s">
        <v>101</v>
      </c>
      <c r="I388" s="8"/>
    </row>
    <row r="389" spans="1:9" x14ac:dyDescent="0.25">
      <c r="A389" s="4" t="s">
        <v>1299</v>
      </c>
      <c r="B389" s="4" t="s">
        <v>1420</v>
      </c>
      <c r="C389" s="4" t="s">
        <v>77</v>
      </c>
      <c r="D389" s="16" t="s">
        <v>102</v>
      </c>
      <c r="E389" s="16" t="s">
        <v>1176</v>
      </c>
      <c r="I389" s="8"/>
    </row>
    <row r="390" spans="1:9" x14ac:dyDescent="0.25">
      <c r="A390" s="4" t="s">
        <v>1299</v>
      </c>
      <c r="B390" s="4" t="s">
        <v>1420</v>
      </c>
      <c r="C390" s="4" t="s">
        <v>77</v>
      </c>
      <c r="D390" s="16" t="s">
        <v>25</v>
      </c>
      <c r="E390" s="16" t="s">
        <v>333</v>
      </c>
      <c r="I390" s="8"/>
    </row>
    <row r="391" spans="1:9" x14ac:dyDescent="0.25">
      <c r="A391" s="4" t="s">
        <v>1299</v>
      </c>
      <c r="B391" s="4" t="s">
        <v>1420</v>
      </c>
      <c r="C391" s="4" t="s">
        <v>77</v>
      </c>
      <c r="D391" s="16" t="s">
        <v>103</v>
      </c>
      <c r="E391" s="16" t="s">
        <v>335</v>
      </c>
      <c r="I391" s="8"/>
    </row>
    <row r="392" spans="1:9" x14ac:dyDescent="0.25">
      <c r="A392" s="4" t="s">
        <v>1299</v>
      </c>
      <c r="B392" s="4" t="s">
        <v>1420</v>
      </c>
      <c r="C392" s="4" t="s">
        <v>77</v>
      </c>
      <c r="D392" s="16" t="s">
        <v>78</v>
      </c>
      <c r="E392" s="16" t="s">
        <v>79</v>
      </c>
      <c r="F392" s="16" t="s">
        <v>104</v>
      </c>
      <c r="I392" s="8"/>
    </row>
    <row r="393" spans="1:9" x14ac:dyDescent="0.25">
      <c r="A393" s="4" t="s">
        <v>1299</v>
      </c>
      <c r="B393" s="4" t="s">
        <v>1420</v>
      </c>
      <c r="C393" s="4" t="s">
        <v>77</v>
      </c>
      <c r="D393" s="16" t="s">
        <v>93</v>
      </c>
      <c r="E393" s="16" t="s">
        <v>993</v>
      </c>
      <c r="F393" s="16" t="s">
        <v>104</v>
      </c>
      <c r="I393" s="8"/>
    </row>
    <row r="394" spans="1:9" ht="30" x14ac:dyDescent="0.25">
      <c r="A394" s="4" t="s">
        <v>1299</v>
      </c>
      <c r="B394" s="4" t="s">
        <v>1420</v>
      </c>
      <c r="C394" s="4" t="s">
        <v>77</v>
      </c>
      <c r="D394" s="16" t="s">
        <v>105</v>
      </c>
      <c r="E394" s="16" t="s">
        <v>105</v>
      </c>
      <c r="G394" s="16" t="s">
        <v>259</v>
      </c>
      <c r="H394" s="16" t="s">
        <v>59</v>
      </c>
      <c r="I394" s="16" t="str">
        <f>VLOOKUP(A395&amp;G394&amp;H394,Views!$E$1:$F$149,2,FALSE)</f>
        <v>General Requirements View</v>
      </c>
    </row>
    <row r="395" spans="1:9" ht="30" x14ac:dyDescent="0.25">
      <c r="A395" s="4" t="s">
        <v>1299</v>
      </c>
      <c r="B395" s="4" t="s">
        <v>1420</v>
      </c>
      <c r="C395" s="4" t="s">
        <v>95</v>
      </c>
      <c r="D395" s="16" t="str">
        <f t="shared" ref="D395:D396" si="1">I394&amp;".txt"</f>
        <v>General Requirements View.txt</v>
      </c>
      <c r="E395" s="16" t="s">
        <v>81</v>
      </c>
      <c r="G395" s="16" t="s">
        <v>1189</v>
      </c>
      <c r="H395" s="16" t="s">
        <v>60</v>
      </c>
      <c r="I395" s="16" t="str">
        <f>VLOOKUP(A396&amp;G395&amp;H395,Views!$E$1:$F$149,2,FALSE)</f>
        <v>01 Verification-Design</v>
      </c>
    </row>
    <row r="396" spans="1:9" x14ac:dyDescent="0.25">
      <c r="A396" s="4" t="s">
        <v>1299</v>
      </c>
      <c r="B396" s="4" t="s">
        <v>1420</v>
      </c>
      <c r="C396" s="4" t="s">
        <v>96</v>
      </c>
      <c r="D396" s="16" t="str">
        <f t="shared" si="1"/>
        <v>01 Verification-Design.txt</v>
      </c>
      <c r="E396" s="16" t="s">
        <v>81</v>
      </c>
      <c r="F396" s="16" t="s">
        <v>104</v>
      </c>
      <c r="G396" s="4"/>
      <c r="H396" s="4"/>
      <c r="I396" s="4"/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t="15.75" x14ac:dyDescent="0.25">
      <c r="A398" s="4" t="s">
        <v>1299</v>
      </c>
      <c r="B398" s="4" t="s">
        <v>1328</v>
      </c>
      <c r="C398" s="4" t="s">
        <v>77</v>
      </c>
      <c r="D398" s="87" t="s">
        <v>1329</v>
      </c>
      <c r="E398" s="87" t="s">
        <v>81</v>
      </c>
      <c r="F398" s="16" t="s">
        <v>534</v>
      </c>
      <c r="I398" s="8"/>
    </row>
    <row r="399" spans="1:9" ht="15.75" x14ac:dyDescent="0.25">
      <c r="A399" s="4" t="s">
        <v>1299</v>
      </c>
      <c r="B399" s="4" t="s">
        <v>1328</v>
      </c>
      <c r="C399" s="4" t="s">
        <v>77</v>
      </c>
      <c r="D399" s="87" t="s">
        <v>1330</v>
      </c>
      <c r="E399" s="87" t="s">
        <v>87</v>
      </c>
      <c r="F399" s="16" t="s">
        <v>534</v>
      </c>
      <c r="I399" s="8"/>
    </row>
    <row r="400" spans="1:9" ht="15.75" x14ac:dyDescent="0.25">
      <c r="A400" s="4" t="s">
        <v>1299</v>
      </c>
      <c r="B400" s="4" t="s">
        <v>1328</v>
      </c>
      <c r="C400" s="4" t="s">
        <v>77</v>
      </c>
      <c r="D400" s="87" t="s">
        <v>1331</v>
      </c>
      <c r="E400" s="87" t="s">
        <v>1331</v>
      </c>
      <c r="F400" s="16" t="s">
        <v>534</v>
      </c>
      <c r="I400" s="8"/>
    </row>
    <row r="401" spans="1:9" ht="15.75" x14ac:dyDescent="0.25">
      <c r="A401" s="4" t="s">
        <v>1299</v>
      </c>
      <c r="B401" s="4" t="s">
        <v>1328</v>
      </c>
      <c r="C401" s="4" t="s">
        <v>77</v>
      </c>
      <c r="D401" s="87" t="s">
        <v>1332</v>
      </c>
      <c r="E401" s="87" t="s">
        <v>1332</v>
      </c>
      <c r="F401" s="16" t="s">
        <v>534</v>
      </c>
      <c r="I401" s="8"/>
    </row>
    <row r="402" spans="1:9" ht="15.75" x14ac:dyDescent="0.25">
      <c r="A402" s="4" t="s">
        <v>1299</v>
      </c>
      <c r="B402" s="4" t="s">
        <v>1328</v>
      </c>
      <c r="C402" s="4" t="s">
        <v>77</v>
      </c>
      <c r="D402" s="88" t="s">
        <v>477</v>
      </c>
      <c r="E402" s="88" t="s">
        <v>477</v>
      </c>
      <c r="I402" s="8"/>
    </row>
    <row r="403" spans="1:9" ht="15.75" x14ac:dyDescent="0.25">
      <c r="A403" s="4" t="s">
        <v>1299</v>
      </c>
      <c r="B403" s="4" t="s">
        <v>1328</v>
      </c>
      <c r="C403" s="4" t="s">
        <v>77</v>
      </c>
      <c r="D403" s="88" t="s">
        <v>1336</v>
      </c>
      <c r="E403" s="88" t="s">
        <v>79</v>
      </c>
      <c r="F403" s="16" t="s">
        <v>1188</v>
      </c>
      <c r="I403" s="8"/>
    </row>
    <row r="404" spans="1:9" ht="15.75" x14ac:dyDescent="0.25">
      <c r="A404" s="4" t="s">
        <v>1299</v>
      </c>
      <c r="B404" s="4" t="s">
        <v>1328</v>
      </c>
      <c r="C404" s="4" t="s">
        <v>77</v>
      </c>
      <c r="D404" s="88" t="s">
        <v>1337</v>
      </c>
      <c r="E404" s="88" t="s">
        <v>1337</v>
      </c>
      <c r="F404" s="16" t="s">
        <v>1188</v>
      </c>
      <c r="I404" s="8"/>
    </row>
    <row r="405" spans="1:9" ht="15.75" x14ac:dyDescent="0.25">
      <c r="A405" s="4" t="s">
        <v>1299</v>
      </c>
      <c r="B405" s="4" t="s">
        <v>1328</v>
      </c>
      <c r="C405" s="4" t="s">
        <v>77</v>
      </c>
      <c r="D405" s="88" t="s">
        <v>1365</v>
      </c>
      <c r="E405" s="88" t="s">
        <v>1210</v>
      </c>
      <c r="I405" s="8"/>
    </row>
    <row r="406" spans="1:9" ht="15.75" x14ac:dyDescent="0.25">
      <c r="A406" s="4" t="s">
        <v>1299</v>
      </c>
      <c r="B406" s="4" t="s">
        <v>1328</v>
      </c>
      <c r="C406" s="4" t="s">
        <v>77</v>
      </c>
      <c r="D406" s="88" t="s">
        <v>1333</v>
      </c>
      <c r="E406" s="88" t="s">
        <v>81</v>
      </c>
      <c r="I406" s="8"/>
    </row>
    <row r="407" spans="1:9" ht="15.75" x14ac:dyDescent="0.25">
      <c r="A407" s="4" t="s">
        <v>1299</v>
      </c>
      <c r="B407" s="4" t="s">
        <v>1328</v>
      </c>
      <c r="C407" s="4" t="s">
        <v>77</v>
      </c>
      <c r="D407" s="88" t="s">
        <v>1334</v>
      </c>
      <c r="E407" s="88" t="s">
        <v>87</v>
      </c>
      <c r="I407" s="8"/>
    </row>
    <row r="408" spans="1:9" ht="15.75" x14ac:dyDescent="0.25">
      <c r="A408" s="4" t="s">
        <v>1299</v>
      </c>
      <c r="B408" s="4" t="s">
        <v>1328</v>
      </c>
      <c r="C408" s="4" t="s">
        <v>77</v>
      </c>
      <c r="D408" s="88" t="s">
        <v>1335</v>
      </c>
      <c r="E408" s="88" t="s">
        <v>333</v>
      </c>
      <c r="I408" s="8"/>
    </row>
    <row r="409" spans="1:9" ht="15.75" x14ac:dyDescent="0.25">
      <c r="A409" s="4" t="s">
        <v>1299</v>
      </c>
      <c r="B409" s="4" t="s">
        <v>1328</v>
      </c>
      <c r="C409" s="4" t="s">
        <v>77</v>
      </c>
      <c r="D409" s="88" t="s">
        <v>1203</v>
      </c>
      <c r="E409" s="88" t="s">
        <v>1338</v>
      </c>
      <c r="I409" s="8"/>
    </row>
    <row r="410" spans="1:9" ht="15.75" x14ac:dyDescent="0.25">
      <c r="A410" s="4" t="s">
        <v>1299</v>
      </c>
      <c r="B410" s="4" t="s">
        <v>1328</v>
      </c>
      <c r="C410" s="4" t="s">
        <v>77</v>
      </c>
      <c r="D410" s="88" t="s">
        <v>107</v>
      </c>
      <c r="E410" s="88" t="s">
        <v>107</v>
      </c>
      <c r="I410" s="8"/>
    </row>
    <row r="411" spans="1:9" x14ac:dyDescent="0.25">
      <c r="A411" s="4" t="s">
        <v>1299</v>
      </c>
      <c r="B411" s="4" t="s">
        <v>1328</v>
      </c>
      <c r="C411" s="4" t="s">
        <v>95</v>
      </c>
      <c r="D411" s="16" t="str">
        <f>I411&amp;".txt"</f>
        <v>RAATM-2.txt</v>
      </c>
      <c r="E411" s="16" t="s">
        <v>81</v>
      </c>
      <c r="G411" s="16" t="s">
        <v>259</v>
      </c>
      <c r="H411" s="16" t="s">
        <v>259</v>
      </c>
      <c r="I411" s="16" t="str">
        <f>VLOOKUP(A411&amp;G411&amp;H411,Views!$E$1:$F$149,2,FALSE)</f>
        <v>RAATM-2</v>
      </c>
    </row>
    <row r="412" spans="1:9" ht="30" x14ac:dyDescent="0.25">
      <c r="A412" s="4" t="s">
        <v>1299</v>
      </c>
      <c r="B412" s="4" t="s">
        <v>1328</v>
      </c>
      <c r="C412" s="4" t="s">
        <v>96</v>
      </c>
      <c r="D412" s="16" t="str">
        <f t="shared" ref="D412:D413" si="2">I412&amp;".txt"</f>
        <v>RAATM-1.txt</v>
      </c>
      <c r="E412" s="16" t="s">
        <v>81</v>
      </c>
      <c r="F412" s="16" t="s">
        <v>534</v>
      </c>
      <c r="G412" s="16" t="s">
        <v>1175</v>
      </c>
      <c r="H412" s="16" t="s">
        <v>259</v>
      </c>
      <c r="I412" s="16" t="str">
        <f>VLOOKUP(A412&amp;G412&amp;H412,Views!$E$1:$F$149,2,FALSE)</f>
        <v>RAATM-1</v>
      </c>
    </row>
    <row r="413" spans="1:9" x14ac:dyDescent="0.25">
      <c r="A413" s="4" t="s">
        <v>1299</v>
      </c>
      <c r="B413" s="4" t="s">
        <v>1328</v>
      </c>
      <c r="C413" s="4" t="s">
        <v>96</v>
      </c>
      <c r="D413" s="16" t="str">
        <f t="shared" si="2"/>
        <v>VCRM.txt</v>
      </c>
      <c r="E413" s="16" t="s">
        <v>81</v>
      </c>
      <c r="F413" s="16" t="s">
        <v>1188</v>
      </c>
      <c r="G413" s="16" t="s">
        <v>1189</v>
      </c>
      <c r="H413" s="16" t="s">
        <v>1189</v>
      </c>
      <c r="I413" s="16" t="str">
        <f>VLOOKUP(A413&amp;G413&amp;H413,Views!$E$1:$F$149,2,FALSE)</f>
        <v>VCRM</v>
      </c>
    </row>
    <row r="414" spans="1:9" x14ac:dyDescent="0.25">
      <c r="A414" s="4"/>
      <c r="B414" s="4"/>
      <c r="C414" s="4"/>
      <c r="D414" s="4"/>
      <c r="E414" s="8"/>
      <c r="F414" s="8"/>
      <c r="G414" s="8"/>
      <c r="H414" s="8"/>
      <c r="I414" s="8"/>
    </row>
    <row r="415" spans="1:9" ht="15.75" x14ac:dyDescent="0.25">
      <c r="A415" s="4" t="s">
        <v>1299</v>
      </c>
      <c r="B415" s="4" t="s">
        <v>1343</v>
      </c>
      <c r="C415" s="4" t="s">
        <v>77</v>
      </c>
      <c r="D415" s="87" t="s">
        <v>1329</v>
      </c>
      <c r="E415" s="87" t="s">
        <v>1349</v>
      </c>
      <c r="F415" s="16" t="s">
        <v>1348</v>
      </c>
      <c r="G415" s="8"/>
      <c r="I415" s="8"/>
    </row>
    <row r="416" spans="1:9" ht="15.75" x14ac:dyDescent="0.25">
      <c r="A416" s="4" t="s">
        <v>1299</v>
      </c>
      <c r="B416" s="4" t="s">
        <v>1343</v>
      </c>
      <c r="C416" s="4" t="s">
        <v>77</v>
      </c>
      <c r="D416" s="87" t="s">
        <v>1330</v>
      </c>
      <c r="E416" s="87" t="s">
        <v>1350</v>
      </c>
      <c r="F416" s="16" t="s">
        <v>1348</v>
      </c>
      <c r="G416" s="8"/>
      <c r="I416" s="8"/>
    </row>
    <row r="417" spans="1:9" ht="15.75" x14ac:dyDescent="0.25">
      <c r="A417" s="4" t="s">
        <v>1299</v>
      </c>
      <c r="B417" s="4" t="s">
        <v>1343</v>
      </c>
      <c r="C417" s="4" t="s">
        <v>77</v>
      </c>
      <c r="D417" s="87" t="s">
        <v>1331</v>
      </c>
      <c r="E417" s="87" t="s">
        <v>1351</v>
      </c>
      <c r="F417" s="16" t="s">
        <v>1348</v>
      </c>
      <c r="G417" s="8"/>
      <c r="I417" s="8"/>
    </row>
    <row r="418" spans="1:9" ht="15.75" x14ac:dyDescent="0.25">
      <c r="A418" s="4" t="s">
        <v>1299</v>
      </c>
      <c r="B418" s="4" t="s">
        <v>1343</v>
      </c>
      <c r="C418" s="4" t="s">
        <v>77</v>
      </c>
      <c r="D418" s="87" t="s">
        <v>1332</v>
      </c>
      <c r="E418" s="87" t="s">
        <v>1352</v>
      </c>
      <c r="F418" s="16" t="s">
        <v>1348</v>
      </c>
      <c r="G418" s="8"/>
      <c r="I418" s="8"/>
    </row>
    <row r="419" spans="1:9" ht="15.75" x14ac:dyDescent="0.25">
      <c r="A419" s="4" t="s">
        <v>1299</v>
      </c>
      <c r="B419" s="4" t="s">
        <v>1343</v>
      </c>
      <c r="C419" s="4" t="s">
        <v>77</v>
      </c>
      <c r="D419" s="88" t="s">
        <v>477</v>
      </c>
      <c r="E419" s="88" t="s">
        <v>477</v>
      </c>
      <c r="I419" s="8"/>
    </row>
    <row r="420" spans="1:9" ht="15.75" x14ac:dyDescent="0.25">
      <c r="A420" s="4" t="s">
        <v>1299</v>
      </c>
      <c r="B420" s="4" t="s">
        <v>1343</v>
      </c>
      <c r="C420" s="4" t="s">
        <v>77</v>
      </c>
      <c r="D420" s="88" t="s">
        <v>1336</v>
      </c>
      <c r="E420" s="88" t="s">
        <v>79</v>
      </c>
      <c r="I420" s="8"/>
    </row>
    <row r="421" spans="1:9" ht="15.75" x14ac:dyDescent="0.25">
      <c r="A421" s="4" t="s">
        <v>1299</v>
      </c>
      <c r="B421" s="4" t="s">
        <v>1343</v>
      </c>
      <c r="C421" s="4" t="s">
        <v>77</v>
      </c>
      <c r="D421" s="88" t="s">
        <v>1337</v>
      </c>
      <c r="E421" s="88" t="s">
        <v>1337</v>
      </c>
      <c r="F421" s="16" t="s">
        <v>1202</v>
      </c>
      <c r="I421" s="8"/>
    </row>
    <row r="422" spans="1:9" ht="15.75" x14ac:dyDescent="0.25">
      <c r="A422" s="4" t="s">
        <v>1299</v>
      </c>
      <c r="B422" s="4" t="s">
        <v>1343</v>
      </c>
      <c r="C422" s="4" t="s">
        <v>77</v>
      </c>
      <c r="D422" s="88" t="s">
        <v>1333</v>
      </c>
      <c r="E422" s="88" t="s">
        <v>81</v>
      </c>
      <c r="F422" s="16" t="s">
        <v>1202</v>
      </c>
      <c r="I422" s="8"/>
    </row>
    <row r="423" spans="1:9" ht="15.75" x14ac:dyDescent="0.25">
      <c r="A423" s="4" t="s">
        <v>1299</v>
      </c>
      <c r="B423" s="4" t="s">
        <v>1343</v>
      </c>
      <c r="C423" s="4" t="s">
        <v>77</v>
      </c>
      <c r="D423" s="88" t="s">
        <v>1365</v>
      </c>
      <c r="E423" s="88" t="s">
        <v>1210</v>
      </c>
      <c r="F423" s="16" t="s">
        <v>1202</v>
      </c>
      <c r="I423" s="8"/>
    </row>
    <row r="424" spans="1:9" ht="15.75" x14ac:dyDescent="0.25">
      <c r="A424" s="4" t="s">
        <v>1299</v>
      </c>
      <c r="B424" s="4" t="s">
        <v>1343</v>
      </c>
      <c r="C424" s="4" t="s">
        <v>77</v>
      </c>
      <c r="D424" s="88" t="s">
        <v>1334</v>
      </c>
      <c r="E424" s="88" t="s">
        <v>87</v>
      </c>
      <c r="F424" s="16" t="s">
        <v>1202</v>
      </c>
      <c r="I424" s="8"/>
    </row>
    <row r="425" spans="1:9" ht="15.75" x14ac:dyDescent="0.25">
      <c r="A425" s="4" t="s">
        <v>1299</v>
      </c>
      <c r="B425" s="4" t="s">
        <v>1343</v>
      </c>
      <c r="C425" s="4" t="s">
        <v>77</v>
      </c>
      <c r="D425" s="88" t="s">
        <v>1335</v>
      </c>
      <c r="E425" s="88" t="s">
        <v>333</v>
      </c>
      <c r="F425" s="16" t="s">
        <v>1202</v>
      </c>
      <c r="I425" s="8"/>
    </row>
    <row r="426" spans="1:9" ht="15.75" x14ac:dyDescent="0.25">
      <c r="A426" s="4" t="s">
        <v>1299</v>
      </c>
      <c r="B426" s="4" t="s">
        <v>1343</v>
      </c>
      <c r="C426" s="4" t="s">
        <v>77</v>
      </c>
      <c r="D426" s="88" t="s">
        <v>1203</v>
      </c>
      <c r="E426" s="88" t="s">
        <v>1338</v>
      </c>
      <c r="F426" s="16" t="s">
        <v>1202</v>
      </c>
      <c r="I426" s="8"/>
    </row>
    <row r="427" spans="1:9" ht="15.75" x14ac:dyDescent="0.25">
      <c r="A427" s="4" t="s">
        <v>1299</v>
      </c>
      <c r="B427" s="4" t="s">
        <v>1343</v>
      </c>
      <c r="C427" s="4" t="s">
        <v>77</v>
      </c>
      <c r="D427" s="88" t="s">
        <v>107</v>
      </c>
      <c r="E427" s="88" t="s">
        <v>107</v>
      </c>
      <c r="F427" s="16" t="s">
        <v>1202</v>
      </c>
      <c r="I427" s="8"/>
    </row>
    <row r="428" spans="1:9" ht="15.75" x14ac:dyDescent="0.25">
      <c r="A428" s="4" t="s">
        <v>1299</v>
      </c>
      <c r="B428" s="4" t="s">
        <v>1343</v>
      </c>
      <c r="C428" s="4" t="s">
        <v>77</v>
      </c>
      <c r="D428" s="88" t="s">
        <v>1366</v>
      </c>
      <c r="E428" s="88" t="s">
        <v>1210</v>
      </c>
      <c r="I428" s="8"/>
    </row>
    <row r="429" spans="1:9" ht="15.75" x14ac:dyDescent="0.25">
      <c r="A429" s="4" t="s">
        <v>1299</v>
      </c>
      <c r="B429" s="4" t="s">
        <v>1343</v>
      </c>
      <c r="C429" s="4" t="s">
        <v>77</v>
      </c>
      <c r="D429" s="89" t="s">
        <v>1344</v>
      </c>
      <c r="E429" s="88" t="s">
        <v>81</v>
      </c>
      <c r="I429" s="8"/>
    </row>
    <row r="430" spans="1:9" ht="15.75" x14ac:dyDescent="0.25">
      <c r="A430" s="4" t="s">
        <v>1299</v>
      </c>
      <c r="B430" s="4" t="s">
        <v>1343</v>
      </c>
      <c r="C430" s="4" t="s">
        <v>77</v>
      </c>
      <c r="D430" s="89" t="s">
        <v>87</v>
      </c>
      <c r="E430" s="88" t="s">
        <v>87</v>
      </c>
      <c r="I430" s="8"/>
    </row>
    <row r="431" spans="1:9" ht="15.75" x14ac:dyDescent="0.25">
      <c r="A431" s="4" t="s">
        <v>1299</v>
      </c>
      <c r="B431" s="4" t="s">
        <v>1343</v>
      </c>
      <c r="C431" s="4" t="s">
        <v>77</v>
      </c>
      <c r="D431" s="89" t="s">
        <v>1336</v>
      </c>
      <c r="E431" s="89" t="s">
        <v>79</v>
      </c>
      <c r="I431" s="8"/>
    </row>
    <row r="432" spans="1:9" ht="15.75" x14ac:dyDescent="0.25">
      <c r="A432" s="4" t="s">
        <v>1299</v>
      </c>
      <c r="B432" s="4" t="s">
        <v>1343</v>
      </c>
      <c r="C432" s="4" t="s">
        <v>77</v>
      </c>
      <c r="D432" s="89" t="s">
        <v>1337</v>
      </c>
      <c r="E432" s="89" t="s">
        <v>1337</v>
      </c>
      <c r="G432" s="8"/>
      <c r="H432" s="8"/>
      <c r="I432" s="8"/>
    </row>
    <row r="433" spans="1:9" ht="15.75" x14ac:dyDescent="0.25">
      <c r="A433" s="4" t="s">
        <v>1299</v>
      </c>
      <c r="B433" s="4" t="s">
        <v>1343</v>
      </c>
      <c r="C433" s="4" t="s">
        <v>77</v>
      </c>
      <c r="D433" s="89" t="s">
        <v>1345</v>
      </c>
      <c r="E433" s="89" t="s">
        <v>1345</v>
      </c>
      <c r="G433" s="8"/>
      <c r="H433" s="8"/>
      <c r="I433" s="8"/>
    </row>
    <row r="434" spans="1:9" ht="15.75" x14ac:dyDescent="0.25">
      <c r="A434" s="4" t="s">
        <v>1299</v>
      </c>
      <c r="B434" s="4" t="s">
        <v>1343</v>
      </c>
      <c r="C434" s="4" t="s">
        <v>77</v>
      </c>
      <c r="D434" s="89" t="s">
        <v>1346</v>
      </c>
      <c r="E434" s="89" t="s">
        <v>89</v>
      </c>
      <c r="G434" s="8"/>
      <c r="H434" s="8"/>
      <c r="I434" s="8"/>
    </row>
    <row r="435" spans="1:9" ht="15.75" x14ac:dyDescent="0.25">
      <c r="A435" s="4" t="s">
        <v>1299</v>
      </c>
      <c r="B435" s="4" t="s">
        <v>1343</v>
      </c>
      <c r="C435" s="4" t="s">
        <v>77</v>
      </c>
      <c r="D435" s="89" t="s">
        <v>1197</v>
      </c>
      <c r="E435" s="89" t="s">
        <v>90</v>
      </c>
      <c r="G435" s="8"/>
      <c r="H435" s="8"/>
      <c r="I435" s="8"/>
    </row>
    <row r="436" spans="1:9" ht="15.75" x14ac:dyDescent="0.25">
      <c r="A436" s="4" t="s">
        <v>1299</v>
      </c>
      <c r="B436" s="4" t="s">
        <v>1343</v>
      </c>
      <c r="C436" s="4" t="s">
        <v>77</v>
      </c>
      <c r="D436" s="89" t="s">
        <v>1193</v>
      </c>
      <c r="E436" s="89" t="s">
        <v>1193</v>
      </c>
      <c r="G436" s="8"/>
      <c r="H436" s="8"/>
      <c r="I436" s="8"/>
    </row>
    <row r="437" spans="1:9" ht="15.75" x14ac:dyDescent="0.25">
      <c r="A437" s="4" t="s">
        <v>1299</v>
      </c>
      <c r="B437" s="4" t="s">
        <v>1343</v>
      </c>
      <c r="C437" s="4" t="s">
        <v>77</v>
      </c>
      <c r="D437" s="89" t="s">
        <v>361</v>
      </c>
      <c r="E437" s="89" t="s">
        <v>94</v>
      </c>
      <c r="G437" s="8"/>
      <c r="H437" s="8"/>
      <c r="I437" s="8"/>
    </row>
    <row r="438" spans="1:9" ht="15.75" x14ac:dyDescent="0.25">
      <c r="A438" s="4" t="s">
        <v>1299</v>
      </c>
      <c r="B438" s="4" t="s">
        <v>1343</v>
      </c>
      <c r="C438" s="4" t="s">
        <v>77</v>
      </c>
      <c r="D438" s="89" t="s">
        <v>1201</v>
      </c>
      <c r="E438" s="89" t="s">
        <v>1201</v>
      </c>
      <c r="G438" s="8"/>
      <c r="H438" s="8"/>
      <c r="I438" s="8"/>
    </row>
    <row r="439" spans="1:9" ht="15.75" x14ac:dyDescent="0.25">
      <c r="A439" s="4" t="s">
        <v>1299</v>
      </c>
      <c r="B439" s="4" t="s">
        <v>1343</v>
      </c>
      <c r="C439" s="4" t="s">
        <v>77</v>
      </c>
      <c r="D439" s="89" t="s">
        <v>1347</v>
      </c>
      <c r="E439" s="89" t="s">
        <v>1347</v>
      </c>
      <c r="G439" s="8"/>
      <c r="H439" s="8"/>
      <c r="I439" s="8"/>
    </row>
    <row r="440" spans="1:9" ht="15.75" x14ac:dyDescent="0.25">
      <c r="A440" s="4" t="s">
        <v>1299</v>
      </c>
      <c r="B440" s="4" t="s">
        <v>1343</v>
      </c>
      <c r="C440" s="4" t="s">
        <v>77</v>
      </c>
      <c r="D440" s="89" t="s">
        <v>1195</v>
      </c>
      <c r="E440" s="89" t="s">
        <v>1195</v>
      </c>
      <c r="G440" s="8"/>
      <c r="H440" s="8"/>
      <c r="I440" s="8"/>
    </row>
    <row r="441" spans="1:9" ht="15.75" x14ac:dyDescent="0.25">
      <c r="A441" s="4" t="s">
        <v>1299</v>
      </c>
      <c r="B441" s="4" t="s">
        <v>1343</v>
      </c>
      <c r="C441" s="4" t="s">
        <v>77</v>
      </c>
      <c r="D441" s="90" t="s">
        <v>1200</v>
      </c>
      <c r="E441" s="90" t="s">
        <v>1200</v>
      </c>
      <c r="G441" s="8"/>
      <c r="H441" s="8"/>
      <c r="I441" s="8"/>
    </row>
    <row r="442" spans="1:9" ht="15.75" x14ac:dyDescent="0.25">
      <c r="A442" s="4" t="s">
        <v>1299</v>
      </c>
      <c r="B442" s="4" t="s">
        <v>1343</v>
      </c>
      <c r="C442" s="4" t="s">
        <v>77</v>
      </c>
      <c r="D442" s="90" t="s">
        <v>1199</v>
      </c>
      <c r="E442" s="90" t="s">
        <v>1199</v>
      </c>
    </row>
    <row r="443" spans="1:9" x14ac:dyDescent="0.25">
      <c r="A443" s="4" t="s">
        <v>1299</v>
      </c>
      <c r="B443" s="4" t="s">
        <v>1343</v>
      </c>
      <c r="C443" s="4" t="s">
        <v>95</v>
      </c>
      <c r="D443" s="16" t="str">
        <f>I443&amp;".txt"</f>
        <v>VCRM.txt</v>
      </c>
      <c r="E443" s="16" t="s">
        <v>81</v>
      </c>
      <c r="G443" s="16" t="s">
        <v>1189</v>
      </c>
      <c r="H443" s="16" t="s">
        <v>1189</v>
      </c>
      <c r="I443" s="16" t="str">
        <f>VLOOKUP(A443&amp;G443&amp;H443,Views!$E$1:$F$149,2,FALSE)</f>
        <v>VCRM</v>
      </c>
    </row>
    <row r="444" spans="1:9" ht="30" x14ac:dyDescent="0.25">
      <c r="A444" s="4" t="s">
        <v>1299</v>
      </c>
      <c r="B444" s="4" t="s">
        <v>1343</v>
      </c>
      <c r="C444" s="4" t="s">
        <v>96</v>
      </c>
      <c r="D444" s="16" t="str">
        <f t="shared" ref="D444:D445" si="3">I444&amp;".txt"</f>
        <v>RAATM-1.txt</v>
      </c>
      <c r="E444" s="16" t="s">
        <v>81</v>
      </c>
      <c r="F444" s="16" t="s">
        <v>534</v>
      </c>
      <c r="G444" s="16" t="s">
        <v>1175</v>
      </c>
      <c r="H444" s="16" t="s">
        <v>259</v>
      </c>
      <c r="I444" s="16" t="str">
        <f>VLOOKUP(A444&amp;G444&amp;H444,Views!$E$1:$F$149,2,FALSE)</f>
        <v>RAATM-1</v>
      </c>
    </row>
    <row r="445" spans="1:9" x14ac:dyDescent="0.25">
      <c r="A445" s="4" t="s">
        <v>1299</v>
      </c>
      <c r="B445" s="4" t="s">
        <v>1343</v>
      </c>
      <c r="C445" s="4" t="s">
        <v>96</v>
      </c>
      <c r="D445" s="16" t="str">
        <f t="shared" si="3"/>
        <v>RAATM-2.txt</v>
      </c>
      <c r="E445" s="16" t="s">
        <v>81</v>
      </c>
      <c r="F445" s="16" t="s">
        <v>1202</v>
      </c>
      <c r="G445" s="16" t="s">
        <v>259</v>
      </c>
      <c r="H445" s="16" t="s">
        <v>259</v>
      </c>
      <c r="I445" s="16" t="str">
        <f>VLOOKUP(A445&amp;G445&amp;H445,Views!$E$1:$F$149,2,FALSE)</f>
        <v>RAATM-2</v>
      </c>
    </row>
    <row r="446" spans="1:9" x14ac:dyDescent="0.25">
      <c r="G446" s="8"/>
      <c r="H446" s="8"/>
      <c r="I446" s="8"/>
    </row>
    <row r="447" spans="1:9" x14ac:dyDescent="0.25">
      <c r="A447" s="4"/>
      <c r="B447" s="4"/>
      <c r="C447" s="4"/>
      <c r="D447" s="4"/>
      <c r="E447" s="8"/>
      <c r="F447" s="8"/>
      <c r="G447" s="8"/>
      <c r="H447" s="8"/>
      <c r="I447" s="8"/>
    </row>
    <row r="448" spans="1:9" x14ac:dyDescent="0.25">
      <c r="G448" s="8"/>
      <c r="H448" s="8"/>
      <c r="I448" s="8"/>
    </row>
    <row r="449" spans="1:9" x14ac:dyDescent="0.25">
      <c r="G449" s="8"/>
      <c r="H449" s="8"/>
      <c r="I449" s="8"/>
    </row>
    <row r="450" spans="1:9" x14ac:dyDescent="0.25">
      <c r="G450" s="8"/>
      <c r="H450" s="8"/>
      <c r="I450" s="8"/>
    </row>
    <row r="451" spans="1:9" x14ac:dyDescent="0.25">
      <c r="G451" s="8"/>
      <c r="H451" s="8"/>
      <c r="I451" s="8"/>
    </row>
    <row r="452" spans="1:9" x14ac:dyDescent="0.25">
      <c r="G452" s="8"/>
      <c r="H452" s="8"/>
      <c r="I452" s="8"/>
    </row>
    <row r="453" spans="1:9" ht="30" x14ac:dyDescent="0.25">
      <c r="A453" s="4" t="s">
        <v>440</v>
      </c>
      <c r="B453" s="4" t="s">
        <v>633</v>
      </c>
      <c r="C453" s="4" t="s">
        <v>96</v>
      </c>
      <c r="D453" s="16" t="e">
        <f>I453&amp;".txt"</f>
        <v>#REF!</v>
      </c>
      <c r="E453" s="16" t="s">
        <v>81</v>
      </c>
      <c r="F453" s="16" t="s">
        <v>104</v>
      </c>
      <c r="G453" s="16" t="s">
        <v>7</v>
      </c>
      <c r="H453" s="16" t="s">
        <v>60</v>
      </c>
      <c r="I453" s="16" t="e">
        <f>VLOOKUP(A453&amp;G453&amp;H453,#REF!,2,FALSE)</f>
        <v>#REF!</v>
      </c>
    </row>
    <row r="454" spans="1:9" x14ac:dyDescent="0.25">
      <c r="A454" s="4" t="s">
        <v>427</v>
      </c>
      <c r="B454" s="4" t="s">
        <v>633</v>
      </c>
      <c r="C454" s="4" t="s">
        <v>77</v>
      </c>
      <c r="D454" s="16" t="s">
        <v>84</v>
      </c>
      <c r="E454" s="16" t="s">
        <v>81</v>
      </c>
      <c r="F454" s="3"/>
      <c r="G454" s="8"/>
      <c r="H454" s="8"/>
      <c r="I454" s="8"/>
    </row>
    <row r="455" spans="1:9" x14ac:dyDescent="0.25">
      <c r="A455" s="4" t="s">
        <v>427</v>
      </c>
      <c r="B455" s="4" t="s">
        <v>633</v>
      </c>
      <c r="C455" s="4" t="s">
        <v>77</v>
      </c>
      <c r="D455" s="16" t="s">
        <v>82</v>
      </c>
      <c r="E455" s="16" t="s">
        <v>79</v>
      </c>
      <c r="F455" s="3"/>
      <c r="G455" s="8"/>
      <c r="H455" s="8"/>
      <c r="I455" s="8"/>
    </row>
    <row r="456" spans="1:9" x14ac:dyDescent="0.25">
      <c r="A456" s="4" t="s">
        <v>427</v>
      </c>
      <c r="B456" s="4" t="s">
        <v>633</v>
      </c>
      <c r="C456" s="4" t="s">
        <v>77</v>
      </c>
      <c r="D456" s="16" t="s">
        <v>85</v>
      </c>
      <c r="E456" s="16" t="s">
        <v>85</v>
      </c>
      <c r="F456" s="3"/>
      <c r="G456" s="8"/>
      <c r="H456" s="8"/>
      <c r="I456" s="8"/>
    </row>
    <row r="457" spans="1:9" x14ac:dyDescent="0.25">
      <c r="A457" s="4" t="s">
        <v>427</v>
      </c>
      <c r="B457" s="4" t="s">
        <v>633</v>
      </c>
      <c r="C457" s="4" t="s">
        <v>77</v>
      </c>
      <c r="D457" s="16" t="s">
        <v>86</v>
      </c>
      <c r="E457" s="16" t="s">
        <v>87</v>
      </c>
      <c r="F457" s="3"/>
      <c r="G457" s="8"/>
      <c r="H457" s="8"/>
      <c r="I457" s="8"/>
    </row>
    <row r="458" spans="1:9" x14ac:dyDescent="0.25">
      <c r="A458" s="4" t="s">
        <v>427</v>
      </c>
      <c r="B458" s="4" t="s">
        <v>633</v>
      </c>
      <c r="C458" s="4" t="s">
        <v>77</v>
      </c>
      <c r="D458" s="16" t="s">
        <v>88</v>
      </c>
      <c r="E458" s="16" t="s">
        <v>88</v>
      </c>
      <c r="F458" s="3"/>
      <c r="G458" s="8"/>
      <c r="H458" s="8"/>
      <c r="I458" s="8"/>
    </row>
    <row r="459" spans="1:9" x14ac:dyDescent="0.25">
      <c r="A459" s="4" t="s">
        <v>427</v>
      </c>
      <c r="B459" s="4" t="s">
        <v>633</v>
      </c>
      <c r="C459" s="4" t="s">
        <v>77</v>
      </c>
      <c r="D459" s="16" t="s">
        <v>97</v>
      </c>
      <c r="E459" s="16" t="s">
        <v>97</v>
      </c>
      <c r="F459" s="3"/>
      <c r="G459" s="8"/>
      <c r="H459" s="8"/>
      <c r="I459" s="8"/>
    </row>
    <row r="460" spans="1:9" x14ac:dyDescent="0.25">
      <c r="A460" s="4" t="s">
        <v>427</v>
      </c>
      <c r="B460" s="4" t="s">
        <v>633</v>
      </c>
      <c r="C460" s="4" t="s">
        <v>77</v>
      </c>
      <c r="D460" s="16" t="s">
        <v>99</v>
      </c>
      <c r="E460" s="16" t="s">
        <v>99</v>
      </c>
      <c r="F460" s="3"/>
      <c r="G460" s="8"/>
      <c r="H460" s="8"/>
      <c r="I460" s="8"/>
    </row>
    <row r="461" spans="1:9" x14ac:dyDescent="0.25">
      <c r="A461" s="4" t="s">
        <v>427</v>
      </c>
      <c r="B461" s="4" t="s">
        <v>633</v>
      </c>
      <c r="C461" s="4" t="s">
        <v>77</v>
      </c>
      <c r="D461" s="16" t="s">
        <v>100</v>
      </c>
      <c r="E461" s="16" t="s">
        <v>101</v>
      </c>
      <c r="F461" s="3"/>
      <c r="G461" s="8"/>
      <c r="H461" s="8"/>
      <c r="I461" s="8"/>
    </row>
    <row r="462" spans="1:9" x14ac:dyDescent="0.25">
      <c r="A462" s="4" t="s">
        <v>427</v>
      </c>
      <c r="B462" s="4" t="s">
        <v>633</v>
      </c>
      <c r="C462" s="4" t="s">
        <v>77</v>
      </c>
      <c r="D462" s="16" t="s">
        <v>102</v>
      </c>
      <c r="E462" s="16" t="s">
        <v>102</v>
      </c>
      <c r="F462" s="3"/>
      <c r="G462" s="8"/>
      <c r="H462" s="8"/>
      <c r="I462" s="8"/>
    </row>
    <row r="463" spans="1:9" x14ac:dyDescent="0.25">
      <c r="A463" s="4" t="s">
        <v>427</v>
      </c>
      <c r="B463" s="4" t="s">
        <v>633</v>
      </c>
      <c r="C463" s="4" t="s">
        <v>77</v>
      </c>
      <c r="D463" s="16" t="s">
        <v>25</v>
      </c>
      <c r="E463" s="16" t="s">
        <v>25</v>
      </c>
      <c r="F463" s="3"/>
      <c r="G463" s="8"/>
      <c r="H463" s="8"/>
      <c r="I463" s="8"/>
    </row>
    <row r="464" spans="1:9" x14ac:dyDescent="0.25">
      <c r="A464" s="4" t="s">
        <v>427</v>
      </c>
      <c r="B464" s="4" t="s">
        <v>633</v>
      </c>
      <c r="C464" s="4" t="s">
        <v>77</v>
      </c>
      <c r="D464" s="16" t="s">
        <v>103</v>
      </c>
      <c r="E464" s="16" t="s">
        <v>103</v>
      </c>
      <c r="F464" s="3"/>
      <c r="G464" s="8"/>
      <c r="H464" s="8"/>
      <c r="I464" s="8"/>
    </row>
    <row r="465" spans="1:9" ht="30" x14ac:dyDescent="0.25">
      <c r="A465" s="4" t="s">
        <v>427</v>
      </c>
      <c r="B465" s="4" t="s">
        <v>633</v>
      </c>
      <c r="C465" s="4" t="s">
        <v>77</v>
      </c>
      <c r="D465" s="16" t="s">
        <v>354</v>
      </c>
      <c r="E465" s="16" t="s">
        <v>79</v>
      </c>
      <c r="F465" s="16" t="s">
        <v>200</v>
      </c>
      <c r="G465" s="8"/>
      <c r="H465" s="8"/>
      <c r="I465" s="8"/>
    </row>
    <row r="466" spans="1:9" x14ac:dyDescent="0.25">
      <c r="A466" s="4" t="s">
        <v>427</v>
      </c>
      <c r="B466" s="4" t="s">
        <v>633</v>
      </c>
      <c r="C466" s="4" t="s">
        <v>77</v>
      </c>
      <c r="D466" s="16" t="s">
        <v>78</v>
      </c>
      <c r="E466" s="16" t="s">
        <v>79</v>
      </c>
      <c r="F466" s="16" t="s">
        <v>104</v>
      </c>
      <c r="G466" s="8"/>
      <c r="H466" s="8"/>
      <c r="I466" s="8"/>
    </row>
    <row r="467" spans="1:9" x14ac:dyDescent="0.25">
      <c r="A467" s="4" t="s">
        <v>427</v>
      </c>
      <c r="B467" s="4" t="s">
        <v>633</v>
      </c>
      <c r="C467" s="4" t="s">
        <v>77</v>
      </c>
      <c r="D467" s="16" t="s">
        <v>89</v>
      </c>
      <c r="E467" s="16" t="s">
        <v>89</v>
      </c>
      <c r="F467" s="3"/>
      <c r="G467" s="8"/>
      <c r="H467" s="8"/>
      <c r="I467" s="8"/>
    </row>
    <row r="468" spans="1:9" x14ac:dyDescent="0.25">
      <c r="A468" s="4" t="s">
        <v>427</v>
      </c>
      <c r="B468" s="4" t="s">
        <v>633</v>
      </c>
      <c r="C468" s="4" t="s">
        <v>77</v>
      </c>
      <c r="D468" s="16" t="s">
        <v>90</v>
      </c>
      <c r="E468" s="16" t="s">
        <v>90</v>
      </c>
      <c r="F468" s="3"/>
      <c r="G468" s="8"/>
      <c r="H468" s="8"/>
      <c r="I468" s="8"/>
    </row>
    <row r="469" spans="1:9" x14ac:dyDescent="0.25">
      <c r="A469" s="4" t="s">
        <v>427</v>
      </c>
      <c r="B469" s="4" t="s">
        <v>633</v>
      </c>
      <c r="C469" s="4" t="s">
        <v>77</v>
      </c>
      <c r="D469" s="16" t="s">
        <v>93</v>
      </c>
      <c r="E469" s="16" t="s">
        <v>93</v>
      </c>
      <c r="F469" s="3"/>
      <c r="G469" s="8"/>
      <c r="H469" s="8"/>
      <c r="I469" s="8"/>
    </row>
    <row r="470" spans="1:9" x14ac:dyDescent="0.25">
      <c r="A470" s="4" t="s">
        <v>427</v>
      </c>
      <c r="B470" s="4" t="s">
        <v>633</v>
      </c>
      <c r="C470" s="4" t="s">
        <v>77</v>
      </c>
      <c r="D470" s="16" t="s">
        <v>105</v>
      </c>
      <c r="E470" s="16" t="s">
        <v>105</v>
      </c>
      <c r="F470" s="3"/>
      <c r="G470" s="8"/>
      <c r="H470" s="8"/>
      <c r="I470" s="8"/>
    </row>
    <row r="471" spans="1:9" ht="30" x14ac:dyDescent="0.25">
      <c r="A471" s="4" t="s">
        <v>427</v>
      </c>
      <c r="B471" s="4" t="s">
        <v>633</v>
      </c>
      <c r="C471" s="4" t="s">
        <v>95</v>
      </c>
      <c r="D471" s="16" t="e">
        <f>I471&amp;".txt"</f>
        <v>#REF!</v>
      </c>
      <c r="E471" s="16" t="s">
        <v>81</v>
      </c>
      <c r="F471" s="3"/>
      <c r="G471" s="16" t="s">
        <v>2</v>
      </c>
      <c r="H471" s="16" t="s">
        <v>59</v>
      </c>
      <c r="I471" s="16" t="e">
        <f>VLOOKUP(A471&amp;G471&amp;H471,#REF!,2,FALSE)</f>
        <v>#REF!</v>
      </c>
    </row>
    <row r="472" spans="1:9" ht="30" x14ac:dyDescent="0.25">
      <c r="A472" s="4" t="s">
        <v>440</v>
      </c>
      <c r="B472" s="4" t="s">
        <v>353</v>
      </c>
      <c r="C472" s="4" t="s">
        <v>96</v>
      </c>
      <c r="D472" s="16" t="e">
        <f>I472&amp;".txt"</f>
        <v>#REF!</v>
      </c>
      <c r="E472" s="16" t="s">
        <v>81</v>
      </c>
      <c r="F472" s="16" t="s">
        <v>104</v>
      </c>
      <c r="G472" s="16" t="s">
        <v>7</v>
      </c>
      <c r="H472" s="16" t="s">
        <v>60</v>
      </c>
      <c r="I472" s="16" t="e">
        <f>VLOOKUP(A472&amp;G472&amp;H472,#REF!,2,FALSE)</f>
        <v>#REF!</v>
      </c>
    </row>
    <row r="473" spans="1:9" x14ac:dyDescent="0.25">
      <c r="A473" s="4" t="s">
        <v>427</v>
      </c>
      <c r="B473" s="4" t="s">
        <v>353</v>
      </c>
      <c r="C473" s="4" t="s">
        <v>77</v>
      </c>
      <c r="D473" s="16" t="s">
        <v>84</v>
      </c>
      <c r="E473" s="16" t="s">
        <v>81</v>
      </c>
      <c r="F473" s="3"/>
      <c r="G473" s="8"/>
      <c r="H473" s="8"/>
      <c r="I473" s="8"/>
    </row>
    <row r="474" spans="1:9" x14ac:dyDescent="0.25">
      <c r="A474" s="4" t="s">
        <v>427</v>
      </c>
      <c r="B474" s="4" t="s">
        <v>353</v>
      </c>
      <c r="C474" s="4" t="s">
        <v>77</v>
      </c>
      <c r="D474" s="16" t="s">
        <v>82</v>
      </c>
      <c r="E474" s="16" t="s">
        <v>79</v>
      </c>
      <c r="F474" s="3"/>
      <c r="G474" s="8"/>
      <c r="H474" s="8"/>
      <c r="I474" s="8"/>
    </row>
    <row r="475" spans="1:9" x14ac:dyDescent="0.25">
      <c r="A475" s="4" t="s">
        <v>427</v>
      </c>
      <c r="B475" s="4" t="s">
        <v>353</v>
      </c>
      <c r="C475" s="4" t="s">
        <v>77</v>
      </c>
      <c r="D475" s="16" t="s">
        <v>85</v>
      </c>
      <c r="E475" s="16" t="s">
        <v>85</v>
      </c>
      <c r="F475" s="3"/>
      <c r="G475" s="8"/>
      <c r="H475" s="8"/>
      <c r="I475" s="8"/>
    </row>
    <row r="476" spans="1:9" x14ac:dyDescent="0.25">
      <c r="A476" s="4" t="s">
        <v>427</v>
      </c>
      <c r="B476" s="4" t="s">
        <v>353</v>
      </c>
      <c r="C476" s="4" t="s">
        <v>77</v>
      </c>
      <c r="D476" s="16" t="s">
        <v>86</v>
      </c>
      <c r="E476" s="16" t="s">
        <v>87</v>
      </c>
      <c r="F476" s="3"/>
      <c r="G476" s="8"/>
      <c r="H476" s="8"/>
      <c r="I476" s="8"/>
    </row>
    <row r="477" spans="1:9" x14ac:dyDescent="0.25">
      <c r="A477" s="4" t="s">
        <v>427</v>
      </c>
      <c r="B477" s="4" t="s">
        <v>353</v>
      </c>
      <c r="C477" s="4" t="s">
        <v>77</v>
      </c>
      <c r="D477" s="16" t="s">
        <v>88</v>
      </c>
      <c r="E477" s="16" t="s">
        <v>88</v>
      </c>
      <c r="F477" s="3"/>
      <c r="G477" s="8"/>
      <c r="H477" s="8"/>
      <c r="I477" s="8"/>
    </row>
    <row r="478" spans="1:9" x14ac:dyDescent="0.25">
      <c r="A478" s="4" t="s">
        <v>427</v>
      </c>
      <c r="B478" s="4" t="s">
        <v>353</v>
      </c>
      <c r="C478" s="4" t="s">
        <v>77</v>
      </c>
      <c r="D478" s="16" t="s">
        <v>99</v>
      </c>
      <c r="E478" s="16" t="s">
        <v>99</v>
      </c>
      <c r="F478" s="3"/>
      <c r="G478" s="8"/>
      <c r="H478" s="8"/>
      <c r="I478" s="8"/>
    </row>
    <row r="479" spans="1:9" x14ac:dyDescent="0.25">
      <c r="A479" s="4" t="s">
        <v>427</v>
      </c>
      <c r="B479" s="4" t="s">
        <v>353</v>
      </c>
      <c r="C479" s="4" t="s">
        <v>77</v>
      </c>
      <c r="D479" s="16" t="s">
        <v>100</v>
      </c>
      <c r="E479" s="16" t="s">
        <v>101</v>
      </c>
      <c r="F479" s="3"/>
      <c r="G479" s="8"/>
      <c r="H479" s="8"/>
      <c r="I479" s="8"/>
    </row>
    <row r="480" spans="1:9" x14ac:dyDescent="0.25">
      <c r="A480" s="4" t="s">
        <v>427</v>
      </c>
      <c r="B480" s="4" t="s">
        <v>353</v>
      </c>
      <c r="C480" s="4" t="s">
        <v>77</v>
      </c>
      <c r="D480" s="16" t="s">
        <v>102</v>
      </c>
      <c r="E480" s="16" t="s">
        <v>102</v>
      </c>
      <c r="F480" s="3"/>
      <c r="G480" s="8"/>
      <c r="H480" s="8"/>
      <c r="I480" s="8"/>
    </row>
    <row r="481" spans="1:9" ht="30" x14ac:dyDescent="0.25">
      <c r="A481" s="4" t="s">
        <v>427</v>
      </c>
      <c r="B481" s="4" t="s">
        <v>353</v>
      </c>
      <c r="C481" s="4" t="s">
        <v>77</v>
      </c>
      <c r="D481" s="16" t="s">
        <v>354</v>
      </c>
      <c r="E481" s="16" t="s">
        <v>79</v>
      </c>
      <c r="F481" s="16" t="s">
        <v>104</v>
      </c>
      <c r="G481" s="8"/>
      <c r="H481" s="8"/>
      <c r="I481" s="8"/>
    </row>
    <row r="482" spans="1:9" x14ac:dyDescent="0.25">
      <c r="A482" s="4" t="s">
        <v>427</v>
      </c>
      <c r="B482" s="4" t="s">
        <v>353</v>
      </c>
      <c r="C482" s="4" t="s">
        <v>77</v>
      </c>
      <c r="D482" s="16" t="s">
        <v>107</v>
      </c>
      <c r="E482" s="16" t="s">
        <v>89</v>
      </c>
      <c r="F482" s="3"/>
      <c r="G482" s="8"/>
      <c r="H482" s="8"/>
      <c r="I482" s="8"/>
    </row>
    <row r="483" spans="1:9" x14ac:dyDescent="0.25">
      <c r="A483" s="4" t="s">
        <v>427</v>
      </c>
      <c r="B483" s="4" t="s">
        <v>353</v>
      </c>
      <c r="C483" s="4" t="s">
        <v>77</v>
      </c>
      <c r="D483" s="16" t="s">
        <v>428</v>
      </c>
      <c r="E483" s="16" t="s">
        <v>428</v>
      </c>
      <c r="F483" s="3"/>
      <c r="G483" s="8"/>
      <c r="H483" s="8"/>
      <c r="I483" s="8"/>
    </row>
    <row r="484" spans="1:9" x14ac:dyDescent="0.25">
      <c r="A484" s="4" t="s">
        <v>427</v>
      </c>
      <c r="B484" s="4" t="s">
        <v>353</v>
      </c>
      <c r="C484" s="4" t="s">
        <v>77</v>
      </c>
      <c r="D484" s="16" t="s">
        <v>356</v>
      </c>
      <c r="E484" s="16" t="s">
        <v>356</v>
      </c>
      <c r="F484" s="3"/>
      <c r="G484" s="8"/>
      <c r="H484" s="8"/>
      <c r="I484" s="8"/>
    </row>
    <row r="485" spans="1:9" x14ac:dyDescent="0.25">
      <c r="A485" s="4" t="s">
        <v>427</v>
      </c>
      <c r="B485" s="4" t="s">
        <v>353</v>
      </c>
      <c r="C485" s="4" t="s">
        <v>77</v>
      </c>
      <c r="D485" s="16" t="s">
        <v>357</v>
      </c>
      <c r="E485" s="16" t="s">
        <v>357</v>
      </c>
      <c r="F485" s="3"/>
      <c r="G485" s="8"/>
      <c r="H485" s="8"/>
      <c r="I485" s="8"/>
    </row>
    <row r="486" spans="1:9" x14ac:dyDescent="0.25">
      <c r="A486" s="4" t="s">
        <v>427</v>
      </c>
      <c r="B486" s="4" t="s">
        <v>353</v>
      </c>
      <c r="C486" s="4" t="s">
        <v>77</v>
      </c>
      <c r="D486" s="16" t="s">
        <v>358</v>
      </c>
      <c r="E486" s="16" t="s">
        <v>358</v>
      </c>
      <c r="F486" s="3"/>
      <c r="G486" s="8"/>
      <c r="H486" s="8"/>
      <c r="I486" s="8"/>
    </row>
    <row r="487" spans="1:9" x14ac:dyDescent="0.25">
      <c r="A487" s="4" t="s">
        <v>427</v>
      </c>
      <c r="B487" s="4" t="s">
        <v>353</v>
      </c>
      <c r="C487" s="4" t="s">
        <v>77</v>
      </c>
      <c r="D487" s="16" t="s">
        <v>359</v>
      </c>
      <c r="E487" s="16" t="s">
        <v>359</v>
      </c>
      <c r="F487" s="3"/>
      <c r="G487" s="8"/>
      <c r="H487" s="8"/>
      <c r="I487" s="8"/>
    </row>
    <row r="488" spans="1:9" x14ac:dyDescent="0.25">
      <c r="A488" s="4" t="s">
        <v>427</v>
      </c>
      <c r="B488" s="4" t="s">
        <v>353</v>
      </c>
      <c r="C488" s="4" t="s">
        <v>77</v>
      </c>
      <c r="D488" s="16" t="s">
        <v>360</v>
      </c>
      <c r="E488" s="16" t="s">
        <v>360</v>
      </c>
      <c r="F488" s="3"/>
      <c r="G488" s="8"/>
      <c r="H488" s="8"/>
      <c r="I488" s="8"/>
    </row>
    <row r="489" spans="1:9" x14ac:dyDescent="0.25">
      <c r="A489" s="4" t="s">
        <v>427</v>
      </c>
      <c r="B489" s="4" t="s">
        <v>353</v>
      </c>
      <c r="C489" s="4" t="s">
        <v>77</v>
      </c>
      <c r="D489" s="16" t="s">
        <v>361</v>
      </c>
      <c r="E489" s="16" t="s">
        <v>361</v>
      </c>
      <c r="F489" s="3"/>
      <c r="G489" s="8"/>
      <c r="H489" s="8"/>
      <c r="I489" s="8"/>
    </row>
    <row r="490" spans="1:9" ht="30" x14ac:dyDescent="0.25">
      <c r="A490" s="4" t="s">
        <v>427</v>
      </c>
      <c r="B490" s="4" t="s">
        <v>353</v>
      </c>
      <c r="C490" s="4" t="s">
        <v>95</v>
      </c>
      <c r="D490" s="16" t="e">
        <f>I490&amp;".txt"</f>
        <v>#REF!</v>
      </c>
      <c r="E490" s="16" t="s">
        <v>81</v>
      </c>
      <c r="F490" s="3"/>
      <c r="G490" s="16" t="s">
        <v>2</v>
      </c>
      <c r="H490" s="16" t="s">
        <v>59</v>
      </c>
      <c r="I490" s="16" t="e">
        <f>VLOOKUP(A490&amp;G490&amp;H490,#REF!,2,FALSE)</f>
        <v>#REF!</v>
      </c>
    </row>
    <row r="491" spans="1:9" x14ac:dyDescent="0.25">
      <c r="A491" s="4"/>
      <c r="B491" s="4"/>
      <c r="C491" s="4"/>
      <c r="D491" s="4"/>
      <c r="E491" s="4"/>
      <c r="F491" s="4"/>
      <c r="G491" s="8"/>
      <c r="H491" s="8"/>
      <c r="I491" s="8"/>
    </row>
    <row r="492" spans="1:9" x14ac:dyDescent="0.25">
      <c r="A492" s="4" t="s">
        <v>14</v>
      </c>
      <c r="B492" s="4" t="s">
        <v>29</v>
      </c>
      <c r="C492" s="4" t="s">
        <v>77</v>
      </c>
      <c r="D492" s="16" t="s">
        <v>84</v>
      </c>
      <c r="E492" s="16" t="s">
        <v>81</v>
      </c>
      <c r="F492" s="3"/>
      <c r="G492" s="8"/>
      <c r="H492" s="8"/>
      <c r="I492" s="8"/>
    </row>
    <row r="493" spans="1:9" x14ac:dyDescent="0.25">
      <c r="A493" s="4" t="s">
        <v>14</v>
      </c>
      <c r="B493" s="4" t="s">
        <v>29</v>
      </c>
      <c r="C493" s="4" t="s">
        <v>77</v>
      </c>
      <c r="D493" s="16" t="s">
        <v>82</v>
      </c>
      <c r="E493" s="16" t="s">
        <v>79</v>
      </c>
      <c r="F493" s="3"/>
      <c r="G493" s="8"/>
      <c r="H493" s="8"/>
      <c r="I493" s="8"/>
    </row>
    <row r="494" spans="1:9" x14ac:dyDescent="0.25">
      <c r="A494" s="4" t="s">
        <v>14</v>
      </c>
      <c r="B494" s="4" t="s">
        <v>29</v>
      </c>
      <c r="C494" s="4" t="s">
        <v>77</v>
      </c>
      <c r="D494" s="16" t="s">
        <v>85</v>
      </c>
      <c r="E494" s="16" t="s">
        <v>85</v>
      </c>
      <c r="F494" s="3"/>
      <c r="G494" s="8"/>
      <c r="H494" s="8"/>
      <c r="I494" s="8"/>
    </row>
    <row r="495" spans="1:9" x14ac:dyDescent="0.25">
      <c r="A495" s="4" t="s">
        <v>14</v>
      </c>
      <c r="B495" s="4" t="s">
        <v>29</v>
      </c>
      <c r="C495" s="4" t="s">
        <v>77</v>
      </c>
      <c r="D495" s="16" t="s">
        <v>86</v>
      </c>
      <c r="E495" s="16" t="s">
        <v>87</v>
      </c>
      <c r="F495" s="3"/>
      <c r="G495" s="8"/>
      <c r="H495" s="8"/>
      <c r="I495" s="8"/>
    </row>
    <row r="496" spans="1:9" x14ac:dyDescent="0.25">
      <c r="A496" s="4" t="s">
        <v>14</v>
      </c>
      <c r="B496" s="4" t="s">
        <v>29</v>
      </c>
      <c r="C496" s="4" t="s">
        <v>77</v>
      </c>
      <c r="D496" s="16" t="s">
        <v>88</v>
      </c>
      <c r="E496" s="16" t="s">
        <v>88</v>
      </c>
      <c r="F496" s="3"/>
      <c r="G496" s="8"/>
      <c r="H496" s="8"/>
      <c r="I496" s="8"/>
    </row>
    <row r="497" spans="1:9" x14ac:dyDescent="0.25">
      <c r="A497" s="4" t="s">
        <v>14</v>
      </c>
      <c r="B497" s="4" t="s">
        <v>29</v>
      </c>
      <c r="C497" s="4" t="s">
        <v>77</v>
      </c>
      <c r="D497" s="16" t="s">
        <v>97</v>
      </c>
      <c r="E497" s="16" t="s">
        <v>98</v>
      </c>
      <c r="F497" s="3"/>
      <c r="G497" s="8"/>
      <c r="H497" s="8"/>
      <c r="I497" s="8"/>
    </row>
    <row r="498" spans="1:9" x14ac:dyDescent="0.25">
      <c r="A498" s="4" t="s">
        <v>14</v>
      </c>
      <c r="B498" s="4" t="s">
        <v>29</v>
      </c>
      <c r="C498" s="4" t="s">
        <v>77</v>
      </c>
      <c r="D498" s="16" t="s">
        <v>99</v>
      </c>
      <c r="E498" s="16" t="s">
        <v>99</v>
      </c>
      <c r="F498" s="3"/>
      <c r="G498" s="8"/>
      <c r="H498" s="8"/>
      <c r="I498" s="8"/>
    </row>
    <row r="499" spans="1:9" x14ac:dyDescent="0.25">
      <c r="A499" s="4" t="s">
        <v>14</v>
      </c>
      <c r="B499" s="4" t="s">
        <v>29</v>
      </c>
      <c r="C499" s="4" t="s">
        <v>77</v>
      </c>
      <c r="D499" s="16" t="s">
        <v>100</v>
      </c>
      <c r="E499" s="16" t="s">
        <v>101</v>
      </c>
      <c r="F499" s="3"/>
      <c r="G499" s="8"/>
      <c r="H499" s="8"/>
      <c r="I499" s="8"/>
    </row>
    <row r="500" spans="1:9" x14ac:dyDescent="0.25">
      <c r="A500" s="4" t="s">
        <v>14</v>
      </c>
      <c r="B500" s="4" t="s">
        <v>29</v>
      </c>
      <c r="C500" s="4" t="s">
        <v>77</v>
      </c>
      <c r="D500" s="16" t="s">
        <v>102</v>
      </c>
      <c r="E500" s="16" t="s">
        <v>102</v>
      </c>
      <c r="F500" s="3"/>
      <c r="G500" s="8"/>
      <c r="H500" s="8"/>
      <c r="I500" s="8"/>
    </row>
    <row r="501" spans="1:9" x14ac:dyDescent="0.25">
      <c r="A501" s="4" t="s">
        <v>14</v>
      </c>
      <c r="B501" s="4" t="s">
        <v>29</v>
      </c>
      <c r="C501" s="4" t="s">
        <v>77</v>
      </c>
      <c r="D501" s="16" t="s">
        <v>25</v>
      </c>
      <c r="E501" s="16" t="s">
        <v>333</v>
      </c>
      <c r="F501" s="3"/>
      <c r="G501" s="8"/>
      <c r="H501" s="8"/>
      <c r="I501" s="8"/>
    </row>
    <row r="502" spans="1:9" x14ac:dyDescent="0.25">
      <c r="A502" s="4" t="s">
        <v>14</v>
      </c>
      <c r="B502" s="4" t="s">
        <v>29</v>
      </c>
      <c r="C502" s="4" t="s">
        <v>77</v>
      </c>
      <c r="D502" s="16" t="s">
        <v>103</v>
      </c>
      <c r="E502" s="16" t="s">
        <v>335</v>
      </c>
      <c r="F502" s="3"/>
      <c r="G502" s="8"/>
      <c r="H502" s="8"/>
      <c r="I502" s="8"/>
    </row>
    <row r="503" spans="1:9" x14ac:dyDescent="0.25">
      <c r="A503" s="4" t="s">
        <v>14</v>
      </c>
      <c r="B503" s="4" t="s">
        <v>29</v>
      </c>
      <c r="C503" s="4" t="s">
        <v>77</v>
      </c>
      <c r="D503" s="16" t="s">
        <v>78</v>
      </c>
      <c r="E503" s="16" t="s">
        <v>79</v>
      </c>
      <c r="F503" s="16" t="s">
        <v>104</v>
      </c>
      <c r="G503" s="8"/>
      <c r="H503" s="8"/>
      <c r="I503" s="8"/>
    </row>
    <row r="504" spans="1:9" x14ac:dyDescent="0.25">
      <c r="A504" s="4" t="s">
        <v>14</v>
      </c>
      <c r="B504" s="4" t="s">
        <v>29</v>
      </c>
      <c r="C504" s="4" t="s">
        <v>77</v>
      </c>
      <c r="D504" s="16" t="s">
        <v>89</v>
      </c>
      <c r="E504" s="16" t="s">
        <v>89</v>
      </c>
      <c r="F504" s="16" t="s">
        <v>104</v>
      </c>
      <c r="G504" s="8"/>
      <c r="H504" s="8"/>
      <c r="I504" s="8"/>
    </row>
    <row r="505" spans="1:9" x14ac:dyDescent="0.25">
      <c r="A505" s="4" t="s">
        <v>14</v>
      </c>
      <c r="B505" s="4" t="s">
        <v>29</v>
      </c>
      <c r="C505" s="4" t="s">
        <v>77</v>
      </c>
      <c r="D505" s="16" t="s">
        <v>90</v>
      </c>
      <c r="E505" s="16" t="s">
        <v>407</v>
      </c>
      <c r="F505" s="16" t="s">
        <v>204</v>
      </c>
      <c r="G505" s="8"/>
      <c r="H505" s="8"/>
      <c r="I505" s="8"/>
    </row>
    <row r="506" spans="1:9" x14ac:dyDescent="0.25">
      <c r="A506" s="4" t="s">
        <v>14</v>
      </c>
      <c r="B506" s="4" t="s">
        <v>29</v>
      </c>
      <c r="C506" s="4" t="s">
        <v>77</v>
      </c>
      <c r="D506" s="16" t="s">
        <v>93</v>
      </c>
      <c r="E506" s="16" t="s">
        <v>93</v>
      </c>
      <c r="F506" s="16" t="s">
        <v>104</v>
      </c>
      <c r="G506" s="8"/>
      <c r="H506" s="8"/>
      <c r="I506" s="8"/>
    </row>
    <row r="507" spans="1:9" x14ac:dyDescent="0.25">
      <c r="A507" s="4" t="s">
        <v>14</v>
      </c>
      <c r="B507" s="4" t="s">
        <v>29</v>
      </c>
      <c r="C507" s="4" t="s">
        <v>77</v>
      </c>
      <c r="D507" s="16" t="s">
        <v>105</v>
      </c>
      <c r="E507" s="16" t="s">
        <v>105</v>
      </c>
      <c r="F507" s="3"/>
      <c r="G507" s="8"/>
      <c r="H507" s="8"/>
      <c r="I507" s="8"/>
    </row>
    <row r="508" spans="1:9" ht="30" x14ac:dyDescent="0.25">
      <c r="A508" s="4" t="s">
        <v>14</v>
      </c>
      <c r="B508" s="4" t="s">
        <v>29</v>
      </c>
      <c r="C508" s="4" t="s">
        <v>95</v>
      </c>
      <c r="D508" s="16" t="e">
        <f>I508&amp;".txt"</f>
        <v>#REF!</v>
      </c>
      <c r="E508" s="16" t="s">
        <v>81</v>
      </c>
      <c r="F508" s="3"/>
      <c r="G508" s="16" t="s">
        <v>2</v>
      </c>
      <c r="H508" s="16" t="s">
        <v>59</v>
      </c>
      <c r="I508" s="16" t="e">
        <f>VLOOKUP(A508&amp;G508&amp;H508,#REF!,2,FALSE)</f>
        <v>#REF!</v>
      </c>
    </row>
    <row r="509" spans="1:9" ht="30" x14ac:dyDescent="0.25">
      <c r="A509" s="4" t="s">
        <v>14</v>
      </c>
      <c r="B509" s="4" t="s">
        <v>29</v>
      </c>
      <c r="C509" s="4" t="s">
        <v>96</v>
      </c>
      <c r="D509" s="16" t="e">
        <f>I509&amp;".txt"</f>
        <v>#REF!</v>
      </c>
      <c r="E509" s="16" t="s">
        <v>81</v>
      </c>
      <c r="F509" s="16" t="s">
        <v>104</v>
      </c>
      <c r="G509" s="16" t="s">
        <v>7</v>
      </c>
      <c r="H509" s="16" t="s">
        <v>60</v>
      </c>
      <c r="I509" s="16" t="e">
        <f>VLOOKUP(A509&amp;G509&amp;H509,#REF!,2,FALSE)</f>
        <v>#REF!</v>
      </c>
    </row>
    <row r="510" spans="1:9" x14ac:dyDescent="0.25">
      <c r="A510" s="4"/>
      <c r="B510" s="4"/>
      <c r="C510" s="4"/>
      <c r="D510" s="4"/>
      <c r="E510" s="4"/>
      <c r="F510" s="4"/>
      <c r="G510" s="8"/>
      <c r="H510" s="8"/>
      <c r="I510" s="8"/>
    </row>
    <row r="511" spans="1:9" x14ac:dyDescent="0.25">
      <c r="A511" s="4" t="s">
        <v>14</v>
      </c>
      <c r="B511" s="4" t="s">
        <v>413</v>
      </c>
      <c r="C511" s="4" t="s">
        <v>77</v>
      </c>
      <c r="D511" s="16" t="s">
        <v>84</v>
      </c>
      <c r="E511" s="16" t="s">
        <v>81</v>
      </c>
      <c r="F511" s="3"/>
      <c r="G511" s="8"/>
      <c r="H511" s="8"/>
      <c r="I511" s="8"/>
    </row>
    <row r="512" spans="1:9" x14ac:dyDescent="0.25">
      <c r="A512" s="4" t="s">
        <v>14</v>
      </c>
      <c r="B512" s="4" t="s">
        <v>413</v>
      </c>
      <c r="C512" s="4" t="s">
        <v>77</v>
      </c>
      <c r="D512" s="16" t="s">
        <v>442</v>
      </c>
      <c r="E512" s="16" t="s">
        <v>443</v>
      </c>
      <c r="F512" s="3"/>
      <c r="G512" s="8"/>
      <c r="H512" s="8"/>
      <c r="I512" s="8"/>
    </row>
    <row r="513" spans="1:9" x14ac:dyDescent="0.25">
      <c r="A513" s="4" t="s">
        <v>14</v>
      </c>
      <c r="B513" s="4" t="s">
        <v>413</v>
      </c>
      <c r="C513" s="4" t="s">
        <v>77</v>
      </c>
      <c r="D513" s="16" t="s">
        <v>82</v>
      </c>
      <c r="E513" s="16" t="s">
        <v>79</v>
      </c>
      <c r="F513" s="3"/>
      <c r="G513" s="8"/>
      <c r="H513" s="8"/>
      <c r="I513" s="8"/>
    </row>
    <row r="514" spans="1:9" x14ac:dyDescent="0.25">
      <c r="A514" s="4" t="s">
        <v>14</v>
      </c>
      <c r="B514" s="4" t="s">
        <v>413</v>
      </c>
      <c r="C514" s="4" t="s">
        <v>77</v>
      </c>
      <c r="D514" s="16" t="s">
        <v>85</v>
      </c>
      <c r="E514" s="16" t="s">
        <v>85</v>
      </c>
      <c r="F514" s="3"/>
      <c r="G514" s="8"/>
      <c r="H514" s="8"/>
      <c r="I514" s="8"/>
    </row>
    <row r="515" spans="1:9" x14ac:dyDescent="0.25">
      <c r="A515" s="4" t="s">
        <v>14</v>
      </c>
      <c r="B515" s="4" t="s">
        <v>413</v>
      </c>
      <c r="C515" s="4" t="s">
        <v>77</v>
      </c>
      <c r="D515" s="16" t="s">
        <v>417</v>
      </c>
      <c r="E515" s="16" t="s">
        <v>418</v>
      </c>
      <c r="F515" s="3"/>
      <c r="G515" s="8"/>
      <c r="H515" s="8"/>
      <c r="I515" s="8"/>
    </row>
    <row r="516" spans="1:9" x14ac:dyDescent="0.25">
      <c r="A516" s="4" t="s">
        <v>14</v>
      </c>
      <c r="B516" s="4" t="s">
        <v>413</v>
      </c>
      <c r="C516" s="4" t="s">
        <v>77</v>
      </c>
      <c r="D516" s="16" t="s">
        <v>86</v>
      </c>
      <c r="E516" s="16" t="s">
        <v>87</v>
      </c>
      <c r="F516" s="3"/>
      <c r="G516" s="8"/>
      <c r="H516" s="8"/>
      <c r="I516" s="8"/>
    </row>
    <row r="517" spans="1:9" x14ac:dyDescent="0.25">
      <c r="A517" s="4" t="s">
        <v>14</v>
      </c>
      <c r="B517" s="4" t="s">
        <v>413</v>
      </c>
      <c r="C517" s="4" t="s">
        <v>77</v>
      </c>
      <c r="D517" s="13" t="s">
        <v>88</v>
      </c>
      <c r="E517" s="16" t="s">
        <v>88</v>
      </c>
      <c r="F517" s="3"/>
      <c r="G517" s="8"/>
      <c r="H517" s="8"/>
      <c r="I517" s="8"/>
    </row>
    <row r="518" spans="1:9" x14ac:dyDescent="0.25">
      <c r="A518" s="4" t="s">
        <v>14</v>
      </c>
      <c r="B518" s="4" t="s">
        <v>413</v>
      </c>
      <c r="C518" s="4" t="s">
        <v>77</v>
      </c>
      <c r="D518" s="13" t="s">
        <v>99</v>
      </c>
      <c r="E518" s="16" t="s">
        <v>99</v>
      </c>
      <c r="F518" s="3"/>
      <c r="G518" s="8"/>
      <c r="H518" s="8"/>
      <c r="I518" s="8"/>
    </row>
    <row r="519" spans="1:9" x14ac:dyDescent="0.25">
      <c r="A519" s="4" t="s">
        <v>14</v>
      </c>
      <c r="B519" s="4" t="s">
        <v>413</v>
      </c>
      <c r="C519" s="4" t="s">
        <v>77</v>
      </c>
      <c r="D519" s="13" t="s">
        <v>100</v>
      </c>
      <c r="E519" s="16" t="s">
        <v>101</v>
      </c>
      <c r="F519" s="3"/>
      <c r="G519" s="8"/>
      <c r="H519" s="8"/>
      <c r="I519" s="8"/>
    </row>
    <row r="520" spans="1:9" x14ac:dyDescent="0.25">
      <c r="A520" s="4" t="s">
        <v>14</v>
      </c>
      <c r="B520" s="4" t="s">
        <v>413</v>
      </c>
      <c r="C520" s="4" t="s">
        <v>77</v>
      </c>
      <c r="D520" s="16" t="s">
        <v>102</v>
      </c>
      <c r="E520" s="16" t="s">
        <v>102</v>
      </c>
      <c r="F520" s="3"/>
      <c r="G520" s="8"/>
      <c r="H520" s="8"/>
      <c r="I520" s="8"/>
    </row>
    <row r="521" spans="1:9" ht="30" x14ac:dyDescent="0.25">
      <c r="A521" s="4" t="s">
        <v>14</v>
      </c>
      <c r="B521" s="4" t="s">
        <v>413</v>
      </c>
      <c r="C521" s="4" t="s">
        <v>77</v>
      </c>
      <c r="D521" s="13" t="s">
        <v>354</v>
      </c>
      <c r="E521" s="16" t="s">
        <v>412</v>
      </c>
      <c r="F521" s="3"/>
      <c r="G521" s="8"/>
      <c r="H521" s="8"/>
      <c r="I521" s="8"/>
    </row>
    <row r="522" spans="1:9" ht="45" x14ac:dyDescent="0.25">
      <c r="A522" s="4" t="s">
        <v>14</v>
      </c>
      <c r="B522" s="4" t="s">
        <v>413</v>
      </c>
      <c r="C522" s="4" t="s">
        <v>95</v>
      </c>
      <c r="D522" s="16" t="e">
        <f>I522&amp;".txt"</f>
        <v>#REF!</v>
      </c>
      <c r="E522" s="16" t="s">
        <v>81</v>
      </c>
      <c r="F522" s="3"/>
      <c r="G522" s="16" t="s">
        <v>2</v>
      </c>
      <c r="H522" s="16" t="s">
        <v>415</v>
      </c>
      <c r="I522" s="16" t="e">
        <f>VLOOKUP(A522&amp;G522&amp;H522,#REF!,2,FALSE)</f>
        <v>#REF!</v>
      </c>
    </row>
    <row r="523" spans="1:9" ht="30" x14ac:dyDescent="0.25">
      <c r="A523" s="4" t="s">
        <v>14</v>
      </c>
      <c r="B523" s="4" t="s">
        <v>29</v>
      </c>
      <c r="C523" s="4" t="s">
        <v>96</v>
      </c>
      <c r="D523" s="16" t="e">
        <f>I523&amp;".txt"</f>
        <v>#REF!</v>
      </c>
      <c r="E523" s="16" t="s">
        <v>81</v>
      </c>
      <c r="F523" s="4" t="s">
        <v>534</v>
      </c>
      <c r="G523" s="16" t="s">
        <v>538</v>
      </c>
      <c r="H523" s="16" t="s">
        <v>540</v>
      </c>
      <c r="I523" s="16" t="e">
        <f>VLOOKUP(A523&amp;G523&amp;H523,#REF!,2,FALSE)</f>
        <v>#REF!</v>
      </c>
    </row>
    <row r="524" spans="1:9" ht="30" x14ac:dyDescent="0.25">
      <c r="A524" s="4" t="s">
        <v>14</v>
      </c>
      <c r="B524" s="4" t="s">
        <v>29</v>
      </c>
      <c r="C524" s="4" t="s">
        <v>96</v>
      </c>
      <c r="D524" s="16" t="s">
        <v>542</v>
      </c>
      <c r="E524" s="16" t="s">
        <v>81</v>
      </c>
      <c r="F524" s="4" t="s">
        <v>534</v>
      </c>
      <c r="G524" s="16" t="s">
        <v>538</v>
      </c>
      <c r="H524" s="16" t="s">
        <v>540</v>
      </c>
      <c r="I524" s="16" t="e">
        <f>VLOOKUP(A524&amp;G524&amp;H524,#REF!,2,FALSE)</f>
        <v>#REF!</v>
      </c>
    </row>
    <row r="525" spans="1:9" x14ac:dyDescent="0.25">
      <c r="A525" s="4"/>
      <c r="B525" s="4"/>
      <c r="C525" s="4"/>
      <c r="D525" s="16"/>
      <c r="E525" s="16"/>
      <c r="F525" s="4"/>
      <c r="G525" s="8"/>
      <c r="H525" s="8"/>
      <c r="I525" s="8"/>
    </row>
    <row r="526" spans="1:9" ht="30" x14ac:dyDescent="0.25">
      <c r="A526" s="4" t="s">
        <v>523</v>
      </c>
      <c r="B526" s="4" t="s">
        <v>29</v>
      </c>
      <c r="C526" s="4" t="s">
        <v>77</v>
      </c>
      <c r="D526" s="16" t="s">
        <v>531</v>
      </c>
      <c r="E526" s="16" t="s">
        <v>531</v>
      </c>
      <c r="F526" s="3"/>
      <c r="G526" s="8"/>
      <c r="H526" s="8"/>
      <c r="I526" s="8"/>
    </row>
    <row r="527" spans="1:9" ht="30" x14ac:dyDescent="0.25">
      <c r="A527" s="4" t="s">
        <v>523</v>
      </c>
      <c r="B527" s="4" t="s">
        <v>29</v>
      </c>
      <c r="C527" s="4" t="s">
        <v>77</v>
      </c>
      <c r="D527" s="16" t="s">
        <v>530</v>
      </c>
      <c r="E527" s="16" t="s">
        <v>530</v>
      </c>
      <c r="F527" s="3"/>
      <c r="G527" s="8"/>
      <c r="H527" s="8"/>
      <c r="I527" s="8"/>
    </row>
    <row r="528" spans="1:9" ht="30" x14ac:dyDescent="0.25">
      <c r="A528" s="4" t="s">
        <v>523</v>
      </c>
      <c r="B528" s="4" t="s">
        <v>29</v>
      </c>
      <c r="C528" s="4" t="s">
        <v>77</v>
      </c>
      <c r="D528" s="16" t="s">
        <v>81</v>
      </c>
      <c r="E528" s="16" t="s">
        <v>81</v>
      </c>
      <c r="F528" s="3"/>
      <c r="G528" s="8"/>
      <c r="H528" s="8"/>
      <c r="I528" s="8"/>
    </row>
    <row r="529" spans="1:9" ht="45" x14ac:dyDescent="0.25">
      <c r="A529" s="4" t="s">
        <v>523</v>
      </c>
      <c r="B529" s="4" t="s">
        <v>29</v>
      </c>
      <c r="C529" s="4" t="s">
        <v>77</v>
      </c>
      <c r="D529" s="16" t="s">
        <v>545</v>
      </c>
      <c r="E529" s="16" t="s">
        <v>547</v>
      </c>
      <c r="F529" s="4" t="s">
        <v>546</v>
      </c>
      <c r="G529" s="8"/>
      <c r="H529" s="8"/>
      <c r="I529" s="8"/>
    </row>
    <row r="530" spans="1:9" ht="30" x14ac:dyDescent="0.25">
      <c r="A530" s="4" t="s">
        <v>523</v>
      </c>
      <c r="B530" s="4" t="s">
        <v>29</v>
      </c>
      <c r="C530" s="4" t="s">
        <v>77</v>
      </c>
      <c r="D530" s="16" t="s">
        <v>87</v>
      </c>
      <c r="E530" s="16" t="s">
        <v>87</v>
      </c>
      <c r="F530" s="3"/>
      <c r="G530" s="8"/>
      <c r="H530" s="8"/>
      <c r="I530" s="8"/>
    </row>
    <row r="531" spans="1:9" ht="30" x14ac:dyDescent="0.25">
      <c r="A531" s="4" t="s">
        <v>523</v>
      </c>
      <c r="B531" s="4" t="s">
        <v>29</v>
      </c>
      <c r="C531" s="4" t="s">
        <v>77</v>
      </c>
      <c r="D531" s="16" t="s">
        <v>528</v>
      </c>
      <c r="E531" s="16" t="s">
        <v>528</v>
      </c>
      <c r="F531" s="3"/>
      <c r="G531" s="8"/>
      <c r="H531" s="8"/>
      <c r="I531" s="8"/>
    </row>
    <row r="532" spans="1:9" ht="30" x14ac:dyDescent="0.25">
      <c r="A532" s="4" t="s">
        <v>523</v>
      </c>
      <c r="B532" s="4" t="s">
        <v>29</v>
      </c>
      <c r="C532" s="4" t="s">
        <v>77</v>
      </c>
      <c r="D532" s="16" t="s">
        <v>160</v>
      </c>
      <c r="E532" s="16" t="s">
        <v>79</v>
      </c>
      <c r="F532" s="3"/>
      <c r="G532" s="8"/>
      <c r="H532" s="8"/>
      <c r="I532" s="8"/>
    </row>
    <row r="533" spans="1:9" ht="30" x14ac:dyDescent="0.25">
      <c r="A533" s="4" t="s">
        <v>523</v>
      </c>
      <c r="B533" s="4" t="s">
        <v>29</v>
      </c>
      <c r="C533" s="4" t="s">
        <v>77</v>
      </c>
      <c r="D533" s="16" t="s">
        <v>88</v>
      </c>
      <c r="E533" s="16" t="s">
        <v>88</v>
      </c>
      <c r="F533" s="3"/>
      <c r="G533" s="8"/>
      <c r="H533" s="8"/>
      <c r="I533" s="8"/>
    </row>
    <row r="534" spans="1:9" ht="30" x14ac:dyDescent="0.25">
      <c r="A534" s="4" t="s">
        <v>523</v>
      </c>
      <c r="B534" s="4" t="s">
        <v>29</v>
      </c>
      <c r="C534" s="4" t="s">
        <v>77</v>
      </c>
      <c r="D534" s="16" t="s">
        <v>529</v>
      </c>
      <c r="E534" s="16" t="s">
        <v>529</v>
      </c>
      <c r="F534" s="3"/>
      <c r="G534" s="8"/>
      <c r="H534" s="8"/>
      <c r="I534" s="8"/>
    </row>
    <row r="535" spans="1:9" ht="30" x14ac:dyDescent="0.25">
      <c r="A535" s="4" t="s">
        <v>523</v>
      </c>
      <c r="B535" s="4" t="s">
        <v>29</v>
      </c>
      <c r="C535" s="4" t="s">
        <v>77</v>
      </c>
      <c r="D535" s="16" t="s">
        <v>527</v>
      </c>
      <c r="E535" s="16" t="s">
        <v>527</v>
      </c>
      <c r="F535" s="3"/>
      <c r="G535" s="8"/>
      <c r="H535" s="8"/>
      <c r="I535" s="8"/>
    </row>
    <row r="536" spans="1:9" ht="30" x14ac:dyDescent="0.25">
      <c r="A536" s="4" t="s">
        <v>523</v>
      </c>
      <c r="B536" s="4" t="s">
        <v>29</v>
      </c>
      <c r="C536" s="4" t="s">
        <v>77</v>
      </c>
      <c r="D536" s="16" t="s">
        <v>419</v>
      </c>
      <c r="E536" s="16" t="s">
        <v>419</v>
      </c>
      <c r="F536" s="3"/>
      <c r="G536" s="8"/>
      <c r="H536" s="8"/>
      <c r="I536" s="8"/>
    </row>
    <row r="537" spans="1:9" ht="30" x14ac:dyDescent="0.25">
      <c r="A537" s="4" t="s">
        <v>523</v>
      </c>
      <c r="B537" s="4" t="s">
        <v>29</v>
      </c>
      <c r="C537" s="4" t="s">
        <v>77</v>
      </c>
      <c r="D537" s="16" t="s">
        <v>244</v>
      </c>
      <c r="E537" s="16" t="s">
        <v>244</v>
      </c>
      <c r="F537" s="3"/>
      <c r="G537" s="8"/>
      <c r="H537" s="8"/>
      <c r="I537" s="8"/>
    </row>
    <row r="538" spans="1:9" ht="30" x14ac:dyDescent="0.25">
      <c r="A538" s="4" t="s">
        <v>523</v>
      </c>
      <c r="B538" s="4" t="s">
        <v>29</v>
      </c>
      <c r="C538" s="4" t="s">
        <v>77</v>
      </c>
      <c r="D538" s="16" t="s">
        <v>532</v>
      </c>
      <c r="E538" s="16" t="s">
        <v>532</v>
      </c>
      <c r="F538" s="3"/>
      <c r="G538" s="8"/>
      <c r="H538" s="8"/>
      <c r="I538" s="8"/>
    </row>
    <row r="539" spans="1:9" ht="30" x14ac:dyDescent="0.25">
      <c r="A539" s="4" t="s">
        <v>523</v>
      </c>
      <c r="B539" s="4" t="s">
        <v>29</v>
      </c>
      <c r="C539" s="4" t="s">
        <v>77</v>
      </c>
      <c r="D539" s="16" t="s">
        <v>534</v>
      </c>
      <c r="E539" s="16" t="s">
        <v>1412</v>
      </c>
      <c r="F539" s="4" t="s">
        <v>534</v>
      </c>
      <c r="G539" s="8"/>
      <c r="H539" s="8"/>
      <c r="I539" s="8"/>
    </row>
    <row r="540" spans="1:9" ht="30" x14ac:dyDescent="0.25">
      <c r="A540" s="4" t="s">
        <v>523</v>
      </c>
      <c r="B540" s="4" t="s">
        <v>29</v>
      </c>
      <c r="C540" s="4" t="s">
        <v>95</v>
      </c>
      <c r="D540" s="16" t="e">
        <f>I540&amp;".txt"</f>
        <v>#REF!</v>
      </c>
      <c r="E540" s="16" t="s">
        <v>81</v>
      </c>
      <c r="F540" s="3"/>
      <c r="G540" s="16" t="s">
        <v>526</v>
      </c>
      <c r="H540" s="16" t="s">
        <v>533</v>
      </c>
      <c r="I540" s="16" t="e">
        <f>VLOOKUP(A540&amp;G540&amp;H540,#REF!,2,FALSE)</f>
        <v>#REF!</v>
      </c>
    </row>
    <row r="541" spans="1:9" ht="30" x14ac:dyDescent="0.25">
      <c r="A541" s="4" t="s">
        <v>523</v>
      </c>
      <c r="B541" s="4" t="s">
        <v>29</v>
      </c>
      <c r="C541" s="4" t="s">
        <v>96</v>
      </c>
      <c r="D541" s="16" t="e">
        <f>I541&amp;".txt"</f>
        <v>#REF!</v>
      </c>
      <c r="E541" s="16" t="s">
        <v>81</v>
      </c>
      <c r="F541" s="4" t="s">
        <v>544</v>
      </c>
      <c r="G541" s="16" t="s">
        <v>526</v>
      </c>
      <c r="H541" s="16" t="s">
        <v>533</v>
      </c>
      <c r="I541" s="16" t="e">
        <f>VLOOKUP(A541&amp;G541&amp;H541,#REF!,2,FALSE)</f>
        <v>#REF!</v>
      </c>
    </row>
    <row r="542" spans="1:9" ht="30" x14ac:dyDescent="0.25">
      <c r="A542" s="4" t="s">
        <v>523</v>
      </c>
      <c r="B542" s="4" t="s">
        <v>29</v>
      </c>
      <c r="C542" s="4" t="s">
        <v>96</v>
      </c>
      <c r="D542" s="16" t="s">
        <v>542</v>
      </c>
      <c r="E542" s="16" t="s">
        <v>81</v>
      </c>
      <c r="F542" s="4" t="s">
        <v>534</v>
      </c>
      <c r="G542" s="16" t="s">
        <v>538</v>
      </c>
      <c r="H542" s="16" t="s">
        <v>540</v>
      </c>
      <c r="I542" s="16" t="e">
        <f>VLOOKUP(A542&amp;G542&amp;H542,#REF!,2,FALSE)</f>
        <v>#REF!</v>
      </c>
    </row>
    <row r="543" spans="1:9" ht="30" x14ac:dyDescent="0.25">
      <c r="A543" s="4" t="s">
        <v>523</v>
      </c>
      <c r="B543" s="4" t="s">
        <v>29</v>
      </c>
      <c r="C543" s="4" t="s">
        <v>77</v>
      </c>
      <c r="D543" s="16" t="s">
        <v>531</v>
      </c>
      <c r="E543" s="16" t="s">
        <v>531</v>
      </c>
      <c r="F543" s="3"/>
      <c r="G543" s="8"/>
      <c r="H543" s="8"/>
      <c r="I543" s="8"/>
    </row>
    <row r="544" spans="1:9" ht="30" x14ac:dyDescent="0.25">
      <c r="A544" s="4" t="s">
        <v>523</v>
      </c>
      <c r="B544" s="4" t="s">
        <v>29</v>
      </c>
      <c r="C544" s="4" t="s">
        <v>77</v>
      </c>
      <c r="D544" s="16" t="s">
        <v>530</v>
      </c>
      <c r="E544" s="16" t="s">
        <v>530</v>
      </c>
      <c r="F544" s="3"/>
      <c r="G544" s="8"/>
      <c r="H544" s="8"/>
      <c r="I544" s="8"/>
    </row>
    <row r="545" spans="1:9" ht="30" x14ac:dyDescent="0.25">
      <c r="A545" s="4" t="s">
        <v>523</v>
      </c>
      <c r="B545" s="4" t="s">
        <v>29</v>
      </c>
      <c r="C545" s="4" t="s">
        <v>77</v>
      </c>
      <c r="D545" s="16" t="s">
        <v>81</v>
      </c>
      <c r="E545" s="16" t="s">
        <v>81</v>
      </c>
      <c r="F545" s="3"/>
      <c r="G545" s="8"/>
      <c r="H545" s="8"/>
      <c r="I545" s="8"/>
    </row>
    <row r="546" spans="1:9" ht="45" x14ac:dyDescent="0.25">
      <c r="A546" s="4" t="s">
        <v>523</v>
      </c>
      <c r="B546" s="4" t="s">
        <v>29</v>
      </c>
      <c r="C546" s="4" t="s">
        <v>77</v>
      </c>
      <c r="D546" s="16" t="s">
        <v>545</v>
      </c>
      <c r="E546" s="16" t="s">
        <v>547</v>
      </c>
      <c r="F546" s="4" t="s">
        <v>546</v>
      </c>
      <c r="G546" s="8"/>
      <c r="H546" s="8"/>
      <c r="I546" s="8"/>
    </row>
    <row r="547" spans="1:9" ht="30" x14ac:dyDescent="0.25">
      <c r="A547" s="4" t="s">
        <v>523</v>
      </c>
      <c r="B547" s="4" t="s">
        <v>29</v>
      </c>
      <c r="C547" s="4" t="s">
        <v>77</v>
      </c>
      <c r="D547" s="16" t="s">
        <v>87</v>
      </c>
      <c r="E547" s="16" t="s">
        <v>87</v>
      </c>
      <c r="F547" s="3"/>
      <c r="G547" s="8"/>
      <c r="H547" s="8"/>
      <c r="I547" s="8"/>
    </row>
    <row r="548" spans="1:9" ht="30" x14ac:dyDescent="0.25">
      <c r="A548" s="4" t="s">
        <v>523</v>
      </c>
      <c r="B548" s="4" t="s">
        <v>29</v>
      </c>
      <c r="C548" s="4" t="s">
        <v>77</v>
      </c>
      <c r="D548" s="16" t="s">
        <v>528</v>
      </c>
      <c r="E548" s="16" t="s">
        <v>528</v>
      </c>
      <c r="F548" s="3"/>
      <c r="G548" s="8"/>
      <c r="H548" s="8"/>
      <c r="I548" s="8"/>
    </row>
    <row r="549" spans="1:9" ht="30" x14ac:dyDescent="0.25">
      <c r="A549" s="4" t="s">
        <v>523</v>
      </c>
      <c r="B549" s="4" t="s">
        <v>29</v>
      </c>
      <c r="C549" s="4" t="s">
        <v>77</v>
      </c>
      <c r="D549" s="16" t="s">
        <v>160</v>
      </c>
      <c r="E549" s="16" t="s">
        <v>79</v>
      </c>
      <c r="F549" s="3"/>
      <c r="G549" s="8"/>
      <c r="H549" s="8"/>
      <c r="I549" s="8"/>
    </row>
    <row r="550" spans="1:9" ht="30" x14ac:dyDescent="0.25">
      <c r="A550" s="4" t="s">
        <v>523</v>
      </c>
      <c r="B550" s="4" t="s">
        <v>29</v>
      </c>
      <c r="C550" s="4" t="s">
        <v>77</v>
      </c>
      <c r="D550" s="16" t="s">
        <v>88</v>
      </c>
      <c r="E550" s="16" t="s">
        <v>88</v>
      </c>
      <c r="F550" s="3"/>
      <c r="G550" s="8"/>
      <c r="H550" s="8"/>
      <c r="I550" s="8"/>
    </row>
    <row r="551" spans="1:9" ht="30" x14ac:dyDescent="0.25">
      <c r="A551" s="4" t="s">
        <v>523</v>
      </c>
      <c r="B551" s="4" t="s">
        <v>29</v>
      </c>
      <c r="C551" s="4" t="s">
        <v>77</v>
      </c>
      <c r="D551" s="16" t="s">
        <v>529</v>
      </c>
      <c r="E551" s="16" t="s">
        <v>529</v>
      </c>
      <c r="F551" s="3"/>
      <c r="G551" s="8"/>
      <c r="H551" s="8"/>
      <c r="I551" s="8"/>
    </row>
    <row r="552" spans="1:9" ht="30" x14ac:dyDescent="0.25">
      <c r="A552" s="4" t="s">
        <v>523</v>
      </c>
      <c r="B552" s="4" t="s">
        <v>29</v>
      </c>
      <c r="C552" s="4" t="s">
        <v>77</v>
      </c>
      <c r="D552" s="16" t="s">
        <v>527</v>
      </c>
      <c r="E552" s="16" t="s">
        <v>527</v>
      </c>
      <c r="F552" s="3"/>
      <c r="G552" s="8"/>
      <c r="H552" s="8"/>
      <c r="I552" s="8"/>
    </row>
    <row r="553" spans="1:9" ht="30" x14ac:dyDescent="0.25">
      <c r="A553" s="4" t="s">
        <v>523</v>
      </c>
      <c r="B553" s="4" t="s">
        <v>29</v>
      </c>
      <c r="C553" s="4" t="s">
        <v>77</v>
      </c>
      <c r="D553" s="16" t="s">
        <v>419</v>
      </c>
      <c r="E553" s="16" t="s">
        <v>419</v>
      </c>
      <c r="F553" s="3"/>
      <c r="G553" s="8"/>
      <c r="H553" s="8"/>
      <c r="I553" s="8"/>
    </row>
    <row r="554" spans="1:9" ht="30" x14ac:dyDescent="0.25">
      <c r="A554" s="4" t="s">
        <v>523</v>
      </c>
      <c r="B554" s="4" t="s">
        <v>29</v>
      </c>
      <c r="C554" s="4" t="s">
        <v>77</v>
      </c>
      <c r="D554" s="16" t="s">
        <v>244</v>
      </c>
      <c r="E554" s="16" t="s">
        <v>244</v>
      </c>
      <c r="F554" s="3"/>
      <c r="G554" s="8"/>
      <c r="H554" s="8"/>
      <c r="I554" s="8"/>
    </row>
    <row r="555" spans="1:9" ht="30" x14ac:dyDescent="0.25">
      <c r="A555" s="4" t="s">
        <v>523</v>
      </c>
      <c r="B555" s="4" t="s">
        <v>29</v>
      </c>
      <c r="C555" s="4" t="s">
        <v>77</v>
      </c>
      <c r="D555" s="16" t="s">
        <v>532</v>
      </c>
      <c r="E555" s="16" t="s">
        <v>532</v>
      </c>
      <c r="F555" s="3"/>
      <c r="G555" s="8"/>
      <c r="H555" s="8"/>
      <c r="I555" s="8"/>
    </row>
    <row r="556" spans="1:9" ht="30" x14ac:dyDescent="0.25">
      <c r="A556" s="4" t="s">
        <v>523</v>
      </c>
      <c r="B556" s="4" t="s">
        <v>29</v>
      </c>
      <c r="C556" s="4" t="s">
        <v>77</v>
      </c>
      <c r="D556" s="16" t="s">
        <v>534</v>
      </c>
      <c r="E556" s="16" t="s">
        <v>1412</v>
      </c>
      <c r="F556" s="4" t="s">
        <v>534</v>
      </c>
      <c r="G556" s="8"/>
      <c r="H556" s="8"/>
      <c r="I556" s="8"/>
    </row>
    <row r="557" spans="1:9" ht="30" x14ac:dyDescent="0.25">
      <c r="A557" s="4" t="s">
        <v>523</v>
      </c>
      <c r="B557" s="4" t="s">
        <v>29</v>
      </c>
      <c r="C557" s="4" t="s">
        <v>95</v>
      </c>
      <c r="D557" s="16" t="s">
        <v>624</v>
      </c>
      <c r="E557" s="16" t="s">
        <v>81</v>
      </c>
      <c r="F557" s="3"/>
      <c r="G557" s="16" t="s">
        <v>526</v>
      </c>
      <c r="H557" s="16" t="s">
        <v>533</v>
      </c>
      <c r="I557" s="16" t="e">
        <f>VLOOKUP(A557&amp;G557&amp;H557,#REF!,2,FALSE)</f>
        <v>#REF!</v>
      </c>
    </row>
    <row r="558" spans="1:9" ht="30" x14ac:dyDescent="0.25">
      <c r="A558" s="4" t="s">
        <v>523</v>
      </c>
      <c r="B558" s="4" t="s">
        <v>29</v>
      </c>
      <c r="C558" s="4" t="s">
        <v>96</v>
      </c>
      <c r="D558" s="16" t="s">
        <v>624</v>
      </c>
      <c r="E558" s="16" t="s">
        <v>81</v>
      </c>
      <c r="F558" s="4" t="s">
        <v>544</v>
      </c>
      <c r="G558" s="16" t="s">
        <v>526</v>
      </c>
      <c r="H558" s="16" t="s">
        <v>533</v>
      </c>
      <c r="I558" s="16" t="e">
        <f>VLOOKUP(A558&amp;G558&amp;H558,#REF!,2,FALSE)</f>
        <v>#REF!</v>
      </c>
    </row>
    <row r="559" spans="1:9" ht="30" x14ac:dyDescent="0.25">
      <c r="A559" s="4" t="s">
        <v>523</v>
      </c>
      <c r="B559" s="4" t="s">
        <v>29</v>
      </c>
      <c r="C559" s="4" t="s">
        <v>96</v>
      </c>
      <c r="D559" s="16" t="s">
        <v>542</v>
      </c>
      <c r="E559" s="16" t="s">
        <v>81</v>
      </c>
      <c r="F559" s="4" t="s">
        <v>534</v>
      </c>
      <c r="G559" s="16" t="s">
        <v>538</v>
      </c>
      <c r="H559" s="16" t="s">
        <v>540</v>
      </c>
      <c r="I559" s="16" t="e">
        <f>VLOOKUP(A559&amp;G559&amp;H559,#REF!,2,FALSE)</f>
        <v>#REF!</v>
      </c>
    </row>
    <row r="560" spans="1:9" x14ac:dyDescent="0.25">
      <c r="G560" s="8"/>
      <c r="H560" s="8"/>
      <c r="I560" s="8"/>
    </row>
    <row r="561" spans="1:10" x14ac:dyDescent="0.25">
      <c r="G561" s="8"/>
      <c r="H561" s="8"/>
      <c r="I561" s="8"/>
    </row>
    <row r="562" spans="1:10" ht="30" x14ac:dyDescent="0.25">
      <c r="A562" s="4" t="s">
        <v>761</v>
      </c>
      <c r="B562" s="4" t="s">
        <v>743</v>
      </c>
      <c r="C562" s="4" t="s">
        <v>77</v>
      </c>
      <c r="D562" s="4" t="e">
        <f>#REF!&amp;" "&amp;J562&amp;" "&amp;#REF!&amp;IF($H562&lt;&gt;"","-"&amp;H562,"")</f>
        <v>#REF!</v>
      </c>
      <c r="E562" s="16" t="e">
        <f>"""&lt;b&gt;""&amp;id&amp;"":&lt;/b&gt;\010""&amp;"&amp;#REF!</f>
        <v>#REF!</v>
      </c>
      <c r="F562" s="16" t="s">
        <v>431</v>
      </c>
      <c r="G562" s="8"/>
      <c r="H562" s="8"/>
      <c r="I562" s="8"/>
      <c r="J562" t="s">
        <v>422</v>
      </c>
    </row>
    <row r="563" spans="1:10" ht="30" x14ac:dyDescent="0.25">
      <c r="A563" s="4" t="s">
        <v>761</v>
      </c>
      <c r="B563" s="4" t="s">
        <v>743</v>
      </c>
      <c r="C563" s="4" t="s">
        <v>77</v>
      </c>
      <c r="D563" s="4" t="e">
        <f>#REF!&amp;" "&amp;J563&amp;" "&amp;#REF!&amp;IF($H563&lt;&gt;"","-"&amp;H563,"")</f>
        <v>#REF!</v>
      </c>
      <c r="E563" s="16" t="e">
        <f>"""&lt;b&gt;""&amp;id&amp;"":&lt;/b&gt;\010""&amp;"&amp;#REF!</f>
        <v>#REF!</v>
      </c>
      <c r="F563" s="16" t="s">
        <v>431</v>
      </c>
      <c r="G563" s="8"/>
      <c r="H563" s="8"/>
      <c r="I563" s="8"/>
      <c r="J563" t="s">
        <v>422</v>
      </c>
    </row>
    <row r="564" spans="1:10" ht="30" x14ac:dyDescent="0.25">
      <c r="A564" s="4" t="s">
        <v>761</v>
      </c>
      <c r="B564" s="4" t="s">
        <v>743</v>
      </c>
      <c r="C564" s="4" t="s">
        <v>77</v>
      </c>
      <c r="D564" s="4" t="e">
        <f>#REF!&amp;" "&amp;J564&amp;" "&amp;#REF!&amp;IF($H564&lt;&gt;"","-"&amp;H564,"")</f>
        <v>#REF!</v>
      </c>
      <c r="E564" s="16" t="e">
        <f>"""&lt;b&gt;""&amp;id&amp;"":&lt;/b&gt;\010""&amp;"&amp;#REF!</f>
        <v>#REF!</v>
      </c>
      <c r="F564" s="16" t="s">
        <v>431</v>
      </c>
      <c r="G564" s="8"/>
      <c r="H564" s="8"/>
      <c r="I564" s="8"/>
      <c r="J564" t="s">
        <v>422</v>
      </c>
    </row>
    <row r="565" spans="1:10" ht="30" x14ac:dyDescent="0.25">
      <c r="A565" s="4" t="s">
        <v>761</v>
      </c>
      <c r="B565" s="4" t="s">
        <v>743</v>
      </c>
      <c r="C565" s="4" t="s">
        <v>77</v>
      </c>
      <c r="D565" s="4" t="e">
        <f>#REF!&amp;" "&amp;J565&amp;" "&amp;#REF!&amp;IF($H565&lt;&gt;"","-"&amp;H565,"")</f>
        <v>#REF!</v>
      </c>
      <c r="E565" s="16" t="e">
        <f>#REF!</f>
        <v>#REF!</v>
      </c>
      <c r="F565" s="16" t="s">
        <v>434</v>
      </c>
      <c r="G565" s="8"/>
      <c r="H565" s="8"/>
      <c r="I565" s="8"/>
      <c r="J565" t="s">
        <v>422</v>
      </c>
    </row>
    <row r="566" spans="1:10" ht="30" x14ac:dyDescent="0.25">
      <c r="A566" s="4" t="s">
        <v>761</v>
      </c>
      <c r="B566" s="4" t="s">
        <v>743</v>
      </c>
      <c r="C566" s="4" t="s">
        <v>77</v>
      </c>
      <c r="D566" s="4" t="e">
        <f>#REF!&amp;" "&amp;J566&amp;" "&amp;#REF!&amp;IF($H566&lt;&gt;"","-"&amp;H566,"")</f>
        <v>#REF!</v>
      </c>
      <c r="E566" s="16" t="e">
        <f>"""&lt;b&gt;""&amp;id&amp;"":&lt;/b&gt;\010""&amp;"&amp;#REF!</f>
        <v>#REF!</v>
      </c>
      <c r="F566" s="16" t="s">
        <v>434</v>
      </c>
      <c r="G566" s="8"/>
      <c r="H566" s="8"/>
      <c r="I566" s="8"/>
      <c r="J566" t="s">
        <v>422</v>
      </c>
    </row>
    <row r="567" spans="1:10" ht="30" x14ac:dyDescent="0.25">
      <c r="A567" s="4" t="s">
        <v>761</v>
      </c>
      <c r="B567" s="4" t="s">
        <v>743</v>
      </c>
      <c r="C567" s="4" t="s">
        <v>77</v>
      </c>
      <c r="D567" s="4" t="e">
        <f>#REF!&amp;" "&amp;J567&amp;" "&amp;#REF!&amp;IF($H567&lt;&gt;"","-"&amp;H567,"")</f>
        <v>#REF!</v>
      </c>
      <c r="E567" s="16" t="e">
        <f>"""&lt;b&gt;""&amp;id&amp;"":&lt;/b&gt;\010""&amp;"&amp;#REF!</f>
        <v>#REF!</v>
      </c>
      <c r="F567" s="16" t="s">
        <v>434</v>
      </c>
      <c r="G567" s="8"/>
      <c r="H567" s="8"/>
      <c r="I567" s="8"/>
      <c r="J567" t="s">
        <v>422</v>
      </c>
    </row>
    <row r="568" spans="1:10" ht="30" x14ac:dyDescent="0.25">
      <c r="A568" s="4" t="s">
        <v>761</v>
      </c>
      <c r="B568" s="4" t="s">
        <v>743</v>
      </c>
      <c r="C568" s="4" t="s">
        <v>77</v>
      </c>
      <c r="D568" s="4" t="e">
        <f>#REF!&amp;" "&amp;J568&amp;" "&amp;#REF!&amp;IF($H568&lt;&gt;"","-"&amp;H568,"")</f>
        <v>#REF!</v>
      </c>
      <c r="E568" s="16" t="e">
        <f>"""&lt;b&gt;""&amp;id&amp;"":&lt;/b&gt;\010""&amp;"&amp;#REF!</f>
        <v>#REF!</v>
      </c>
      <c r="F568" s="16" t="s">
        <v>434</v>
      </c>
      <c r="G568" s="8"/>
      <c r="H568" s="8"/>
      <c r="I568" s="8"/>
      <c r="J568" t="s">
        <v>422</v>
      </c>
    </row>
    <row r="569" spans="1:10" ht="30" x14ac:dyDescent="0.25">
      <c r="A569" s="4" t="s">
        <v>761</v>
      </c>
      <c r="B569" s="4" t="s">
        <v>743</v>
      </c>
      <c r="C569" s="4" t="s">
        <v>77</v>
      </c>
      <c r="D569" s="4" t="e">
        <f>#REF!&amp;" "&amp;J569&amp;" "&amp;#REF!&amp;IF($H569&lt;&gt;"","-"&amp;H569,"")</f>
        <v>#REF!</v>
      </c>
      <c r="E569" s="16" t="e">
        <f>"""&lt;b&gt;""&amp;id&amp;"":&lt;/b&gt;\010""&amp;"&amp;#REF!</f>
        <v>#REF!</v>
      </c>
      <c r="F569" s="16" t="s">
        <v>434</v>
      </c>
      <c r="G569" s="8"/>
      <c r="H569" s="8"/>
      <c r="I569" s="8"/>
      <c r="J569" t="s">
        <v>422</v>
      </c>
    </row>
    <row r="570" spans="1:10" ht="30" x14ac:dyDescent="0.25">
      <c r="A570" s="4" t="s">
        <v>761</v>
      </c>
      <c r="B570" s="4" t="s">
        <v>743</v>
      </c>
      <c r="C570" s="4" t="s">
        <v>77</v>
      </c>
      <c r="D570" s="4" t="e">
        <f>#REF!&amp;" "&amp;J570&amp;" "&amp;#REF!&amp;IF($H570&lt;&gt;"","-"&amp;H570,"")</f>
        <v>#REF!</v>
      </c>
      <c r="E570" s="16" t="e">
        <f>"""&lt;b&gt;""&amp;id&amp;"":&lt;/b&gt;\010""&amp;"&amp;#REF!</f>
        <v>#REF!</v>
      </c>
      <c r="F570" s="16" t="s">
        <v>434</v>
      </c>
      <c r="G570" s="8"/>
      <c r="H570" s="8"/>
      <c r="I570" s="8"/>
      <c r="J570" t="s">
        <v>422</v>
      </c>
    </row>
    <row r="571" spans="1:10" ht="30" x14ac:dyDescent="0.25">
      <c r="A571" s="4" t="s">
        <v>761</v>
      </c>
      <c r="B571" s="4" t="s">
        <v>743</v>
      </c>
      <c r="C571" s="4" t="s">
        <v>77</v>
      </c>
      <c r="D571" s="4" t="e">
        <f>#REF!&amp;" "&amp;J571&amp;" "&amp;#REF!&amp;IF($H571&lt;&gt;"","-"&amp;H571,"")</f>
        <v>#REF!</v>
      </c>
      <c r="E571" s="16" t="e">
        <f>"""&lt;b&gt;""&amp;id&amp;"":&lt;/b&gt;\010""&amp;"&amp;#REF!</f>
        <v>#REF!</v>
      </c>
      <c r="F571" s="16" t="s">
        <v>434</v>
      </c>
      <c r="G571" s="8"/>
      <c r="H571" s="8"/>
      <c r="I571" s="8"/>
      <c r="J571" t="s">
        <v>422</v>
      </c>
    </row>
    <row r="572" spans="1:10" ht="30" x14ac:dyDescent="0.25">
      <c r="A572" s="4" t="s">
        <v>761</v>
      </c>
      <c r="B572" s="4" t="s">
        <v>743</v>
      </c>
      <c r="C572" s="4" t="s">
        <v>77</v>
      </c>
      <c r="D572" s="4" t="e">
        <f>#REF!&amp;" "&amp;J572&amp;" "&amp;#REF!&amp;IF($H572&lt;&gt;"","-"&amp;H572,"")</f>
        <v>#REF!</v>
      </c>
      <c r="E572" s="16" t="e">
        <f>"""&lt;b&gt;""&amp;id&amp;"":&lt;/b&gt;\010""&amp;"&amp;#REF!</f>
        <v>#REF!</v>
      </c>
      <c r="F572" s="16" t="s">
        <v>434</v>
      </c>
      <c r="G572" s="8"/>
      <c r="H572" s="8"/>
      <c r="I572" s="8"/>
      <c r="J572" t="s">
        <v>422</v>
      </c>
    </row>
    <row r="573" spans="1:10" ht="30" x14ac:dyDescent="0.25">
      <c r="A573" s="4" t="s">
        <v>761</v>
      </c>
      <c r="B573" s="4" t="s">
        <v>743</v>
      </c>
      <c r="C573" s="4" t="s">
        <v>77</v>
      </c>
      <c r="D573" s="4" t="e">
        <f>#REF!&amp;" "&amp;J573&amp;" "&amp;#REF!&amp;IF($H573&lt;&gt;"","-"&amp;H573,"")</f>
        <v>#REF!</v>
      </c>
      <c r="E573" s="16" t="e">
        <f>"""&lt;b&gt;""&amp;id&amp;"":&lt;/b&gt;\010""&amp;"&amp;#REF!</f>
        <v>#REF!</v>
      </c>
      <c r="F573" s="16" t="s">
        <v>431</v>
      </c>
      <c r="G573" s="8"/>
      <c r="H573" s="8"/>
      <c r="I573" s="8"/>
      <c r="J573" t="s">
        <v>423</v>
      </c>
    </row>
    <row r="574" spans="1:10" ht="30" x14ac:dyDescent="0.25">
      <c r="A574" s="4" t="s">
        <v>761</v>
      </c>
      <c r="B574" s="4" t="s">
        <v>743</v>
      </c>
      <c r="C574" s="4" t="s">
        <v>77</v>
      </c>
      <c r="D574" s="4" t="e">
        <f>#REF!&amp;" "&amp;J574&amp;" "&amp;#REF!&amp;IF($H574&lt;&gt;"","-"&amp;H574,"")</f>
        <v>#REF!</v>
      </c>
      <c r="E574" s="16" t="e">
        <f>"""&lt;b&gt;""&amp;id&amp;"":&lt;/b&gt;\010""&amp;"&amp;#REF!</f>
        <v>#REF!</v>
      </c>
      <c r="F574" s="16" t="s">
        <v>431</v>
      </c>
      <c r="G574" s="8"/>
      <c r="H574" s="8"/>
      <c r="I574" s="8"/>
      <c r="J574" t="s">
        <v>423</v>
      </c>
    </row>
    <row r="575" spans="1:10" x14ac:dyDescent="0.25">
      <c r="A575" s="4"/>
      <c r="B575" s="4"/>
      <c r="C575" s="4"/>
      <c r="D575" s="4"/>
      <c r="E575" s="16"/>
      <c r="F575" s="16"/>
      <c r="G575" s="8"/>
      <c r="H575" s="8"/>
      <c r="I575" s="8"/>
    </row>
    <row r="576" spans="1:10" x14ac:dyDescent="0.25">
      <c r="A576" s="4" t="s">
        <v>541</v>
      </c>
      <c r="B576" s="4" t="s">
        <v>743</v>
      </c>
      <c r="C576" s="4" t="s">
        <v>77</v>
      </c>
      <c r="D576" s="23" t="s">
        <v>450</v>
      </c>
      <c r="E576" s="16" t="e">
        <f>#REF!</f>
        <v>#REF!</v>
      </c>
      <c r="F576" s="3"/>
      <c r="G576" s="8"/>
      <c r="H576" s="8"/>
      <c r="I576" s="8"/>
      <c r="J576" t="s">
        <v>426</v>
      </c>
    </row>
    <row r="577" spans="1:10" x14ac:dyDescent="0.25">
      <c r="A577" s="4" t="s">
        <v>541</v>
      </c>
      <c r="B577" s="4" t="s">
        <v>743</v>
      </c>
      <c r="C577" s="4" t="s">
        <v>77</v>
      </c>
      <c r="D577" s="23" t="s">
        <v>738</v>
      </c>
      <c r="E577" s="16" t="e">
        <f>"""&lt;b&gt;""&amp;"&amp;#REF!&amp;"&amp;""&lt;/b&gt;"""</f>
        <v>#REF!</v>
      </c>
      <c r="F577" s="3"/>
      <c r="G577" s="8"/>
      <c r="H577" s="8"/>
      <c r="I577" s="8"/>
    </row>
    <row r="578" spans="1:10" x14ac:dyDescent="0.25">
      <c r="A578" s="4" t="s">
        <v>541</v>
      </c>
      <c r="B578" s="4" t="s">
        <v>743</v>
      </c>
      <c r="C578" s="4" t="s">
        <v>77</v>
      </c>
      <c r="D578" s="23" t="s">
        <v>739</v>
      </c>
      <c r="E578" s="16" t="e">
        <f>#REF!</f>
        <v>#REF!</v>
      </c>
      <c r="F578" s="3"/>
      <c r="G578" s="8"/>
      <c r="H578" s="8"/>
      <c r="I578" s="8"/>
    </row>
    <row r="579" spans="1:10" x14ac:dyDescent="0.25">
      <c r="A579" s="4" t="s">
        <v>541</v>
      </c>
      <c r="B579" s="4" t="s">
        <v>743</v>
      </c>
      <c r="C579" s="4" t="s">
        <v>77</v>
      </c>
      <c r="D579" s="23" t="s">
        <v>740</v>
      </c>
      <c r="E579" s="16" t="e">
        <f>#REF!</f>
        <v>#REF!</v>
      </c>
      <c r="F579" s="3"/>
      <c r="G579" s="8"/>
      <c r="H579" s="8"/>
      <c r="I579" s="8"/>
    </row>
    <row r="580" spans="1:10" x14ac:dyDescent="0.25">
      <c r="A580" s="4" t="s">
        <v>541</v>
      </c>
      <c r="B580" s="4" t="s">
        <v>743</v>
      </c>
      <c r="C580" s="4" t="s">
        <v>77</v>
      </c>
      <c r="D580" s="10" t="e">
        <f>#REF!&amp;" "&amp;J580&amp;" "&amp;#REF!&amp;IF(#REF!&lt;&gt;"","-"&amp;#REF!,"")</f>
        <v>#REF!</v>
      </c>
      <c r="E580" s="16" t="e">
        <f>"""&lt;b&gt;""&amp;"&amp;#REF!&amp;"&amp;""&lt;/b&gt;"""</f>
        <v>#REF!</v>
      </c>
      <c r="F580" s="16" t="s">
        <v>758</v>
      </c>
      <c r="G580" s="8"/>
      <c r="H580" s="8"/>
      <c r="I580" s="8"/>
      <c r="J580" t="s">
        <v>426</v>
      </c>
    </row>
    <row r="581" spans="1:10" x14ac:dyDescent="0.25">
      <c r="A581" s="4" t="s">
        <v>541</v>
      </c>
      <c r="B581" s="4" t="s">
        <v>743</v>
      </c>
      <c r="C581" s="4" t="s">
        <v>77</v>
      </c>
      <c r="D581" s="10" t="e">
        <f>#REF!&amp;" "&amp;J581&amp;" "&amp;#REF!&amp;IF(#REF!&lt;&gt;"","-"&amp;#REF!,"")</f>
        <v>#REF!</v>
      </c>
      <c r="E581" s="16" t="e">
        <f>#REF!</f>
        <v>#REF!</v>
      </c>
      <c r="F581" s="16" t="s">
        <v>758</v>
      </c>
      <c r="G581" s="8"/>
      <c r="H581" s="8"/>
      <c r="I581" s="8"/>
      <c r="J581" t="s">
        <v>426</v>
      </c>
    </row>
    <row r="582" spans="1:10" x14ac:dyDescent="0.25">
      <c r="A582" s="4" t="s">
        <v>541</v>
      </c>
      <c r="B582" s="4" t="s">
        <v>743</v>
      </c>
      <c r="C582" s="4" t="s">
        <v>77</v>
      </c>
      <c r="D582" s="10" t="e">
        <f>#REF!&amp;" "&amp;J582&amp;" "&amp;#REF!&amp;IF(#REF!&lt;&gt;"","-"&amp;#REF!,"")</f>
        <v>#REF!</v>
      </c>
      <c r="E582" s="16" t="e">
        <f>#REF!</f>
        <v>#REF!</v>
      </c>
      <c r="F582" s="16" t="s">
        <v>758</v>
      </c>
      <c r="G582" s="8"/>
      <c r="H582" s="8"/>
      <c r="I582" s="8"/>
      <c r="J582" t="s">
        <v>426</v>
      </c>
    </row>
    <row r="583" spans="1:10" x14ac:dyDescent="0.25">
      <c r="A583" s="4" t="s">
        <v>541</v>
      </c>
      <c r="B583" s="4" t="s">
        <v>743</v>
      </c>
      <c r="C583" s="4" t="s">
        <v>77</v>
      </c>
      <c r="D583" s="10" t="e">
        <f>#REF!&amp;" "&amp;J583&amp;" "&amp;#REF!&amp;IF(#REF!&lt;&gt;"","-"&amp;#REF!,"")</f>
        <v>#REF!</v>
      </c>
      <c r="E583" s="16" t="e">
        <f>#REF!</f>
        <v>#REF!</v>
      </c>
      <c r="F583" s="16" t="s">
        <v>758</v>
      </c>
      <c r="G583" s="8"/>
      <c r="H583" s="8"/>
      <c r="I583" s="8"/>
      <c r="J583" t="s">
        <v>426</v>
      </c>
    </row>
    <row r="584" spans="1:10" x14ac:dyDescent="0.25">
      <c r="A584" s="4" t="s">
        <v>541</v>
      </c>
      <c r="B584" s="4" t="s">
        <v>743</v>
      </c>
      <c r="C584" s="4" t="s">
        <v>77</v>
      </c>
      <c r="D584" s="10" t="e">
        <f>#REF!&amp;" "&amp;J584&amp;" "&amp;#REF!&amp;IF(#REF!&lt;&gt;"","-"&amp;#REF!,"")</f>
        <v>#REF!</v>
      </c>
      <c r="E584" s="16" t="e">
        <f>#REF!</f>
        <v>#REF!</v>
      </c>
      <c r="F584" s="16" t="s">
        <v>758</v>
      </c>
      <c r="G584" s="8"/>
      <c r="H584" s="8"/>
      <c r="I584" s="8"/>
      <c r="J584" t="s">
        <v>426</v>
      </c>
    </row>
    <row r="585" spans="1:10" x14ac:dyDescent="0.25">
      <c r="A585" s="4" t="s">
        <v>541</v>
      </c>
      <c r="B585" s="4" t="s">
        <v>743</v>
      </c>
      <c r="C585" s="4" t="s">
        <v>77</v>
      </c>
      <c r="D585" s="10" t="e">
        <f>#REF!&amp;" "&amp;J585&amp;" "&amp;#REF!&amp;IF(#REF!&lt;&gt;"","-"&amp;#REF!,"")</f>
        <v>#REF!</v>
      </c>
      <c r="E585" s="16" t="e">
        <f>#REF!</f>
        <v>#REF!</v>
      </c>
      <c r="F585" s="16" t="s">
        <v>758</v>
      </c>
      <c r="G585" s="8"/>
      <c r="H585" s="8"/>
      <c r="I585" s="8"/>
      <c r="J585" t="s">
        <v>426</v>
      </c>
    </row>
    <row r="586" spans="1:10" x14ac:dyDescent="0.25">
      <c r="A586" s="4" t="s">
        <v>541</v>
      </c>
      <c r="B586" s="4" t="s">
        <v>743</v>
      </c>
      <c r="C586" s="4" t="s">
        <v>77</v>
      </c>
      <c r="D586" s="10" t="e">
        <f>#REF!&amp;" "&amp;J586&amp;" "&amp;#REF!&amp;IF(#REF!&lt;&gt;"","-"&amp;#REF!,"")</f>
        <v>#REF!</v>
      </c>
      <c r="E586" s="16" t="e">
        <f>#REF!</f>
        <v>#REF!</v>
      </c>
      <c r="F586" s="16" t="s">
        <v>758</v>
      </c>
      <c r="G586" s="8"/>
      <c r="H586" s="8"/>
      <c r="I586" s="8"/>
      <c r="J586" t="s">
        <v>426</v>
      </c>
    </row>
    <row r="587" spans="1:10" x14ac:dyDescent="0.25">
      <c r="A587" s="4" t="s">
        <v>541</v>
      </c>
      <c r="B587" s="4" t="s">
        <v>743</v>
      </c>
      <c r="C587" s="4" t="s">
        <v>77</v>
      </c>
      <c r="D587" s="10" t="e">
        <f>#REF!&amp;" "&amp;J587&amp;" "&amp;#REF!&amp;IF(#REF!&lt;&gt;"","-"&amp;#REF!,"")</f>
        <v>#REF!</v>
      </c>
      <c r="E587" s="16" t="e">
        <f>#REF!</f>
        <v>#REF!</v>
      </c>
      <c r="F587" s="16" t="s">
        <v>758</v>
      </c>
      <c r="G587" s="8"/>
      <c r="H587" s="8"/>
      <c r="I587" s="8"/>
      <c r="J587" t="s">
        <v>426</v>
      </c>
    </row>
    <row r="588" spans="1:10" x14ac:dyDescent="0.25">
      <c r="A588" s="4" t="s">
        <v>541</v>
      </c>
      <c r="B588" s="4" t="s">
        <v>743</v>
      </c>
      <c r="C588" s="4" t="s">
        <v>77</v>
      </c>
      <c r="D588" s="10" t="e">
        <f>#REF!&amp;" "&amp;J588&amp;" "&amp;#REF!&amp;IF(#REF!&lt;&gt;"","-"&amp;#REF!,"")</f>
        <v>#REF!</v>
      </c>
      <c r="E588" s="16" t="e">
        <f>#REF!</f>
        <v>#REF!</v>
      </c>
      <c r="F588" s="16" t="s">
        <v>758</v>
      </c>
      <c r="G588" s="8"/>
      <c r="H588" s="8"/>
      <c r="I588" s="8"/>
      <c r="J588" t="s">
        <v>426</v>
      </c>
    </row>
    <row r="589" spans="1:10" x14ac:dyDescent="0.25">
      <c r="A589" s="4" t="s">
        <v>541</v>
      </c>
      <c r="B589" s="4" t="s">
        <v>743</v>
      </c>
      <c r="C589" s="4" t="s">
        <v>77</v>
      </c>
      <c r="D589" s="10" t="e">
        <f>#REF!&amp;" "&amp;J589&amp;" "&amp;#REF!&amp;IF(#REF!&lt;&gt;"","-"&amp;#REF!,"")</f>
        <v>#REF!</v>
      </c>
      <c r="E589" s="16" t="e">
        <f>#REF!</f>
        <v>#REF!</v>
      </c>
      <c r="F589" s="16" t="s">
        <v>758</v>
      </c>
      <c r="G589" s="8"/>
      <c r="H589" s="8"/>
      <c r="I589" s="8"/>
      <c r="J589" t="s">
        <v>426</v>
      </c>
    </row>
    <row r="590" spans="1:10" x14ac:dyDescent="0.25">
      <c r="A590" s="4" t="s">
        <v>541</v>
      </c>
      <c r="B590" s="4" t="s">
        <v>743</v>
      </c>
      <c r="C590" s="4" t="s">
        <v>77</v>
      </c>
      <c r="D590" s="10" t="e">
        <f>#REF!&amp;" "&amp;J590&amp;" "&amp;#REF!&amp;IF(#REF!&lt;&gt;"","-"&amp;#REF!,"")</f>
        <v>#REF!</v>
      </c>
      <c r="E590" s="16" t="e">
        <f>#REF!</f>
        <v>#REF!</v>
      </c>
      <c r="F590" s="16" t="s">
        <v>758</v>
      </c>
      <c r="G590" s="8"/>
      <c r="H590" s="8"/>
      <c r="I590" s="8"/>
      <c r="J590" t="s">
        <v>426</v>
      </c>
    </row>
    <row r="591" spans="1:10" x14ac:dyDescent="0.25">
      <c r="A591" s="4" t="s">
        <v>541</v>
      </c>
      <c r="B591" s="4" t="s">
        <v>743</v>
      </c>
      <c r="C591" s="4" t="s">
        <v>77</v>
      </c>
      <c r="D591" s="10" t="e">
        <f>#REF!&amp;" "&amp;J591&amp;" "&amp;#REF!&amp;IF(#REF!&lt;&gt;"","-"&amp;#REF!,"")</f>
        <v>#REF!</v>
      </c>
      <c r="E591" s="16" t="e">
        <f>#REF!</f>
        <v>#REF!</v>
      </c>
      <c r="F591" s="16" t="s">
        <v>758</v>
      </c>
      <c r="G591" s="8"/>
      <c r="H591" s="8"/>
      <c r="I591" s="8"/>
      <c r="J591" t="s">
        <v>426</v>
      </c>
    </row>
    <row r="592" spans="1:10" x14ac:dyDescent="0.25">
      <c r="A592" s="4" t="s">
        <v>541</v>
      </c>
      <c r="B592" s="4" t="s">
        <v>743</v>
      </c>
      <c r="C592" s="4" t="s">
        <v>77</v>
      </c>
      <c r="D592" s="10" t="e">
        <f>#REF!&amp;" "&amp;J592&amp;" "&amp;#REF!&amp;IF(#REF!&lt;&gt;"","-"&amp;#REF!,"")</f>
        <v>#REF!</v>
      </c>
      <c r="E592" s="16" t="e">
        <f>#REF!</f>
        <v>#REF!</v>
      </c>
      <c r="F592" s="16" t="s">
        <v>758</v>
      </c>
      <c r="G592" s="8"/>
      <c r="H592" s="8"/>
      <c r="I592" s="8"/>
      <c r="J592" t="s">
        <v>426</v>
      </c>
    </row>
    <row r="593" spans="1:10" x14ac:dyDescent="0.25">
      <c r="A593" s="4" t="s">
        <v>541</v>
      </c>
      <c r="B593" s="4" t="s">
        <v>743</v>
      </c>
      <c r="C593" s="4" t="s">
        <v>77</v>
      </c>
      <c r="D593" s="10" t="e">
        <f>#REF!&amp;" "&amp;J593&amp;" "&amp;#REF!&amp;IF(#REF!&lt;&gt;"","-"&amp;#REF!,"")</f>
        <v>#REF!</v>
      </c>
      <c r="E593" s="16" t="e">
        <f>#REF!</f>
        <v>#REF!</v>
      </c>
      <c r="F593" s="16" t="s">
        <v>758</v>
      </c>
      <c r="G593" s="8"/>
      <c r="H593" s="8"/>
      <c r="I593" s="8"/>
      <c r="J593" t="s">
        <v>426</v>
      </c>
    </row>
    <row r="594" spans="1:10" ht="45" x14ac:dyDescent="0.25">
      <c r="A594" s="4" t="s">
        <v>541</v>
      </c>
      <c r="B594" s="4" t="s">
        <v>743</v>
      </c>
      <c r="C594" s="4" t="s">
        <v>77</v>
      </c>
      <c r="D594" s="11" t="s">
        <v>757</v>
      </c>
      <c r="E594" s="16" t="e">
        <f>"Link:Satisfied By (&lt;).S|""&lt;b&gt;""&amp;"&amp;#REF!&amp;"&amp;""&lt;/b&gt;"",Link:Satisfied By (&lt;).S|""&lt;b&gt;""&amp;"&amp;#REF!&amp;"&amp;""&lt;/b&gt;"""</f>
        <v>#REF!</v>
      </c>
      <c r="F594" s="16" t="s">
        <v>759</v>
      </c>
      <c r="G594" s="8"/>
      <c r="H594" s="8"/>
      <c r="I594" s="8"/>
      <c r="J594" t="s">
        <v>426</v>
      </c>
    </row>
    <row r="595" spans="1:10" ht="45" x14ac:dyDescent="0.25">
      <c r="A595" s="4" t="s">
        <v>541</v>
      </c>
      <c r="B595" s="4" t="s">
        <v>743</v>
      </c>
      <c r="C595" s="4" t="s">
        <v>77</v>
      </c>
      <c r="D595" s="11" t="e">
        <f>#REF!&amp;" "&amp;J595&amp;" "&amp;#REF!&amp;IF(#REF!&lt;&gt;"","-"&amp;#REF!,"")</f>
        <v>#REF!</v>
      </c>
      <c r="E595" s="16" t="e">
        <f>"Link:Satisfied By (&lt;).S|""&lt;b&gt;""&amp;"&amp;#REF!&amp;"&amp;""&lt;/b&gt;"",Link:Satisfied By (&lt;).S|""&lt;b&gt;""&amp;"&amp;#REF!&amp;"&amp;""&lt;/b&gt;"""</f>
        <v>#REF!</v>
      </c>
      <c r="F595" s="16" t="s">
        <v>759</v>
      </c>
      <c r="G595" s="8"/>
      <c r="H595" s="8"/>
      <c r="I595" s="8"/>
      <c r="J595" t="s">
        <v>426</v>
      </c>
    </row>
    <row r="596" spans="1:10" ht="45" x14ac:dyDescent="0.25">
      <c r="A596" s="4" t="s">
        <v>541</v>
      </c>
      <c r="B596" s="4" t="s">
        <v>743</v>
      </c>
      <c r="C596" s="4" t="s">
        <v>77</v>
      </c>
      <c r="D596" s="11" t="e">
        <f>#REF!&amp;" "&amp;J596&amp;" "&amp;#REF!&amp;IF(#REF!&lt;&gt;"","-"&amp;#REF!,"")</f>
        <v>#REF!</v>
      </c>
      <c r="E596" s="16" t="e">
        <f>"Link:Satisfied By (&lt;).S|""&lt;b&gt;""&amp;"&amp;#REF!&amp;"&amp;""&lt;/b&gt;"",Link:Satisfied By (&lt;).S|""&lt;b&gt;""&amp;"&amp;#REF!&amp;"&amp;""&lt;/b&gt;"""</f>
        <v>#REF!</v>
      </c>
      <c r="F596" s="16" t="s">
        <v>759</v>
      </c>
      <c r="G596" s="8"/>
      <c r="H596" s="8"/>
      <c r="I596" s="8"/>
      <c r="J596" t="s">
        <v>426</v>
      </c>
    </row>
    <row r="597" spans="1:10" ht="45" x14ac:dyDescent="0.25">
      <c r="A597" s="4" t="s">
        <v>541</v>
      </c>
      <c r="B597" s="4" t="s">
        <v>743</v>
      </c>
      <c r="C597" s="4" t="s">
        <v>77</v>
      </c>
      <c r="D597" s="11" t="e">
        <f>#REF!&amp;" "&amp;J597&amp;" "&amp;#REF!&amp;IF(#REF!&lt;&gt;"","-"&amp;#REF!,"")</f>
        <v>#REF!</v>
      </c>
      <c r="E597" s="16" t="e">
        <f>"Link:Satisfied By (&lt;).S|""&lt;b&gt;""&amp;"&amp;#REF!&amp;"&amp;""&lt;/b&gt;"",Link:Satisfied By (&lt;).S|""&lt;b&gt;""&amp;"&amp;#REF!&amp;"&amp;""&lt;/b&gt;"""</f>
        <v>#REF!</v>
      </c>
      <c r="F597" s="16" t="s">
        <v>759</v>
      </c>
      <c r="G597" s="8"/>
      <c r="H597" s="8"/>
      <c r="I597" s="8"/>
      <c r="J597" t="s">
        <v>426</v>
      </c>
    </row>
    <row r="598" spans="1:10" ht="45" x14ac:dyDescent="0.25">
      <c r="A598" s="4" t="s">
        <v>541</v>
      </c>
      <c r="B598" s="4" t="s">
        <v>743</v>
      </c>
      <c r="C598" s="4" t="s">
        <v>77</v>
      </c>
      <c r="D598" s="11" t="e">
        <f>#REF!&amp;" "&amp;J598&amp;" "&amp;#REF!&amp;IF(#REF!&lt;&gt;"","-"&amp;#REF!,"")</f>
        <v>#REF!</v>
      </c>
      <c r="E598" s="16" t="e">
        <f>"Link:Satisfied By (&lt;).S|""&lt;b&gt;""&amp;"&amp;#REF!&amp;"&amp;""&lt;/b&gt;"",Link:Satisfied By (&lt;).S|""&lt;b&gt;""&amp;"&amp;#REF!&amp;"&amp;""&lt;/b&gt;"""</f>
        <v>#REF!</v>
      </c>
      <c r="F598" s="16" t="s">
        <v>759</v>
      </c>
      <c r="G598" s="8"/>
      <c r="H598" s="8"/>
      <c r="I598" s="8"/>
      <c r="J598" t="s">
        <v>426</v>
      </c>
    </row>
    <row r="599" spans="1:10" ht="45" x14ac:dyDescent="0.25">
      <c r="A599" s="4" t="s">
        <v>541</v>
      </c>
      <c r="B599" s="4" t="s">
        <v>743</v>
      </c>
      <c r="C599" s="4" t="s">
        <v>77</v>
      </c>
      <c r="D599" s="11" t="e">
        <f>#REF!&amp;" "&amp;J599&amp;" "&amp;#REF!&amp;IF(#REF!&lt;&gt;"","-"&amp;#REF!,"")</f>
        <v>#REF!</v>
      </c>
      <c r="E599" s="16" t="e">
        <f>"Link:Satisfied By (&lt;).S|""&lt;b&gt;""&amp;"&amp;#REF!&amp;"&amp;""&lt;/b&gt;"",Link:Satisfied By (&lt;).S|""&lt;b&gt;""&amp;"&amp;#REF!&amp;"&amp;""&lt;/b&gt;"""</f>
        <v>#REF!</v>
      </c>
      <c r="F599" s="16" t="s">
        <v>759</v>
      </c>
      <c r="G599" s="8"/>
      <c r="H599" s="8"/>
      <c r="I599" s="8"/>
      <c r="J599" t="s">
        <v>426</v>
      </c>
    </row>
    <row r="600" spans="1:10" ht="45" x14ac:dyDescent="0.25">
      <c r="A600" s="4" t="s">
        <v>541</v>
      </c>
      <c r="B600" s="4" t="s">
        <v>743</v>
      </c>
      <c r="C600" s="4" t="s">
        <v>77</v>
      </c>
      <c r="D600" s="11" t="e">
        <f>#REF!&amp;" "&amp;J600&amp;" "&amp;#REF!&amp;IF(#REF!&lt;&gt;"","-"&amp;#REF!,"")</f>
        <v>#REF!</v>
      </c>
      <c r="E600" s="16" t="e">
        <f>"Link:Satisfied By (&lt;).S|""&lt;b&gt;""&amp;"&amp;#REF!&amp;"&amp;""&lt;/b&gt;"",Link:Satisfied By (&lt;).S|""&lt;b&gt;""&amp;"&amp;#REF!&amp;"&amp;""&lt;/b&gt;"""</f>
        <v>#REF!</v>
      </c>
      <c r="F600" s="16" t="s">
        <v>759</v>
      </c>
      <c r="G600" s="8"/>
      <c r="H600" s="8"/>
      <c r="I600" s="8"/>
      <c r="J600" t="s">
        <v>426</v>
      </c>
    </row>
    <row r="601" spans="1:10" ht="45" x14ac:dyDescent="0.25">
      <c r="A601" s="4" t="s">
        <v>541</v>
      </c>
      <c r="B601" s="4" t="s">
        <v>743</v>
      </c>
      <c r="C601" s="4" t="s">
        <v>77</v>
      </c>
      <c r="D601" s="11" t="e">
        <f>#REF!&amp;" "&amp;J601&amp;" "&amp;#REF!&amp;IF(#REF!&lt;&gt;"","-"&amp;#REF!,"")</f>
        <v>#REF!</v>
      </c>
      <c r="E601" s="16" t="e">
        <f>"Link:Satisfied By (&lt;).S|""&lt;b&gt;""&amp;"&amp;#REF!&amp;"&amp;""&lt;/b&gt;"",Link:Satisfied By (&lt;).S|""&lt;b&gt;""&amp;"&amp;#REF!&amp;"&amp;""&lt;/b&gt;"""</f>
        <v>#REF!</v>
      </c>
      <c r="F601" s="16" t="s">
        <v>759</v>
      </c>
      <c r="G601" s="8"/>
      <c r="H601" s="8"/>
      <c r="I601" s="8"/>
      <c r="J601" t="s">
        <v>426</v>
      </c>
    </row>
    <row r="602" spans="1:10" ht="45" x14ac:dyDescent="0.25">
      <c r="A602" s="4" t="s">
        <v>541</v>
      </c>
      <c r="B602" s="4" t="s">
        <v>743</v>
      </c>
      <c r="C602" s="4" t="s">
        <v>77</v>
      </c>
      <c r="D602" s="11" t="e">
        <f>#REF!&amp;" "&amp;J602&amp;" "&amp;#REF!&amp;IF(#REF!&lt;&gt;"","-"&amp;#REF!,"")</f>
        <v>#REF!</v>
      </c>
      <c r="E602" s="16" t="e">
        <f>"Link:Satisfied By (&lt;).S|""&lt;b&gt;""&amp;"&amp;#REF!&amp;"&amp;""&lt;/b&gt;"",Link:Satisfied By (&lt;).S|""&lt;b&gt;""&amp;"&amp;#REF!&amp;"&amp;""&lt;/b&gt;"""</f>
        <v>#REF!</v>
      </c>
      <c r="F602" s="16" t="s">
        <v>759</v>
      </c>
      <c r="G602" s="8"/>
      <c r="H602" s="8"/>
      <c r="I602" s="8"/>
      <c r="J602" t="s">
        <v>426</v>
      </c>
    </row>
    <row r="603" spans="1:10" ht="45" x14ac:dyDescent="0.25">
      <c r="A603" s="4" t="s">
        <v>541</v>
      </c>
      <c r="B603" s="4" t="s">
        <v>743</v>
      </c>
      <c r="C603" s="4" t="s">
        <v>77</v>
      </c>
      <c r="D603" s="11" t="e">
        <f>#REF!&amp;" "&amp;J603&amp;" "&amp;#REF!&amp;IF(#REF!&lt;&gt;"","-"&amp;#REF!,"")</f>
        <v>#REF!</v>
      </c>
      <c r="E603" s="16" t="e">
        <f>"Link:Satisfied By (&lt;).S|""&lt;b&gt;""&amp;"&amp;#REF!&amp;"&amp;""&lt;/b&gt;"",Link:Satisfied By (&lt;).S|""&lt;b&gt;""&amp;"&amp;#REF!&amp;"&amp;""&lt;/b&gt;"""</f>
        <v>#REF!</v>
      </c>
      <c r="F603" s="16" t="s">
        <v>759</v>
      </c>
      <c r="G603" s="8"/>
      <c r="H603" s="8"/>
      <c r="I603" s="8"/>
      <c r="J603" t="s">
        <v>426</v>
      </c>
    </row>
    <row r="604" spans="1:10" ht="30" x14ac:dyDescent="0.25">
      <c r="A604" s="4" t="s">
        <v>541</v>
      </c>
      <c r="B604" s="4" t="s">
        <v>743</v>
      </c>
      <c r="C604" s="4" t="s">
        <v>95</v>
      </c>
      <c r="D604" s="16" t="e">
        <f>I604&amp;".txt"</f>
        <v>#REF!</v>
      </c>
      <c r="E604" s="16" t="s">
        <v>81</v>
      </c>
      <c r="F604" s="16"/>
      <c r="G604" s="16" t="s">
        <v>538</v>
      </c>
      <c r="H604" s="16" t="s">
        <v>745</v>
      </c>
      <c r="I604" s="16" t="e">
        <f>VLOOKUP(A604&amp;G604&amp;H604,#REF!,2,FALSE)</f>
        <v>#REF!</v>
      </c>
    </row>
    <row r="605" spans="1:10" ht="30" x14ac:dyDescent="0.25">
      <c r="A605" s="4" t="s">
        <v>541</v>
      </c>
      <c r="B605" s="4" t="s">
        <v>743</v>
      </c>
      <c r="C605" s="4" t="s">
        <v>96</v>
      </c>
      <c r="D605" s="16" t="e">
        <f>I605&amp;".txt"</f>
        <v>#REF!</v>
      </c>
      <c r="E605" s="16" t="s">
        <v>110</v>
      </c>
      <c r="F605" s="16" t="s">
        <v>758</v>
      </c>
      <c r="G605" s="16" t="s">
        <v>836</v>
      </c>
      <c r="H605" s="16" t="s">
        <v>470</v>
      </c>
      <c r="I605" s="16" t="e">
        <f>VLOOKUP(A605&amp;G605&amp;H605,#REF!,2,FALSE)</f>
        <v>#REF!</v>
      </c>
    </row>
    <row r="606" spans="1:10" ht="30" x14ac:dyDescent="0.25">
      <c r="A606" s="4" t="s">
        <v>541</v>
      </c>
      <c r="B606" s="4" t="s">
        <v>743</v>
      </c>
      <c r="C606" s="4" t="s">
        <v>96</v>
      </c>
      <c r="D606" s="16" t="e">
        <f>I606&amp;".txt"</f>
        <v>#REF!</v>
      </c>
      <c r="E606" s="16" t="s">
        <v>110</v>
      </c>
      <c r="F606" s="16" t="s">
        <v>430</v>
      </c>
      <c r="G606" s="16" t="s">
        <v>836</v>
      </c>
      <c r="H606" s="16" t="s">
        <v>471</v>
      </c>
      <c r="I606" s="16" t="e">
        <f>VLOOKUP(A606&amp;G606&amp;H606,#REF!,2,FALSE)</f>
        <v>#REF!</v>
      </c>
    </row>
    <row r="607" spans="1:10" ht="30" x14ac:dyDescent="0.25">
      <c r="A607" s="4" t="s">
        <v>541</v>
      </c>
      <c r="B607" s="4" t="s">
        <v>743</v>
      </c>
      <c r="C607" s="4" t="s">
        <v>96</v>
      </c>
      <c r="D607" s="16" t="e">
        <f>I607&amp;".txt"</f>
        <v>#REF!</v>
      </c>
      <c r="E607" s="16" t="s">
        <v>110</v>
      </c>
      <c r="F607" s="16" t="s">
        <v>760</v>
      </c>
      <c r="G607" s="16" t="s">
        <v>836</v>
      </c>
      <c r="H607" s="16" t="s">
        <v>471</v>
      </c>
      <c r="I607" s="16" t="e">
        <f>VLOOKUP(A607&amp;G607&amp;H607,#REF!,2,FALSE)</f>
        <v>#REF!</v>
      </c>
    </row>
    <row r="608" spans="1:10" x14ac:dyDescent="0.25">
      <c r="A608" s="4"/>
      <c r="B608" s="4"/>
      <c r="C608" s="4"/>
      <c r="D608" s="4"/>
      <c r="E608" s="4"/>
      <c r="F608" s="4"/>
      <c r="G608" s="8"/>
      <c r="H608" s="8"/>
      <c r="I608" s="8"/>
    </row>
    <row r="609" spans="1:9" x14ac:dyDescent="0.25">
      <c r="A609" s="8"/>
      <c r="B609" s="8"/>
      <c r="C609" s="8"/>
      <c r="D609" s="8"/>
      <c r="E609" s="8"/>
      <c r="F609" s="8"/>
      <c r="G609" s="8"/>
      <c r="H609" s="8"/>
      <c r="I609" s="8"/>
    </row>
    <row r="610" spans="1:9" x14ac:dyDescent="0.25">
      <c r="A610" s="4" t="s">
        <v>478</v>
      </c>
      <c r="B610" s="4" t="s">
        <v>353</v>
      </c>
      <c r="C610" s="4" t="s">
        <v>77</v>
      </c>
      <c r="D610" s="16" t="s">
        <v>84</v>
      </c>
      <c r="E610" s="16" t="s">
        <v>81</v>
      </c>
      <c r="F610" s="3"/>
      <c r="G610" s="8"/>
      <c r="H610" s="8"/>
      <c r="I610" s="8"/>
    </row>
    <row r="611" spans="1:9" x14ac:dyDescent="0.25">
      <c r="A611" s="4" t="s">
        <v>478</v>
      </c>
      <c r="B611" s="4" t="s">
        <v>353</v>
      </c>
      <c r="C611" s="4" t="s">
        <v>77</v>
      </c>
      <c r="D611" s="16" t="s">
        <v>82</v>
      </c>
      <c r="E611" s="16" t="s">
        <v>79</v>
      </c>
      <c r="F611" s="3"/>
      <c r="G611" s="8"/>
      <c r="H611" s="8"/>
      <c r="I611" s="8"/>
    </row>
    <row r="612" spans="1:9" x14ac:dyDescent="0.25">
      <c r="A612" s="4" t="s">
        <v>478</v>
      </c>
      <c r="B612" s="4" t="s">
        <v>353</v>
      </c>
      <c r="C612" s="4" t="s">
        <v>77</v>
      </c>
      <c r="D612" s="16" t="s">
        <v>85</v>
      </c>
      <c r="E612" s="16" t="s">
        <v>85</v>
      </c>
      <c r="F612" s="3"/>
      <c r="G612" s="8"/>
      <c r="H612" s="8"/>
      <c r="I612" s="8"/>
    </row>
    <row r="613" spans="1:9" x14ac:dyDescent="0.25">
      <c r="A613" s="4" t="s">
        <v>478</v>
      </c>
      <c r="B613" s="4" t="s">
        <v>353</v>
      </c>
      <c r="C613" s="4" t="s">
        <v>77</v>
      </c>
      <c r="D613" s="16" t="s">
        <v>86</v>
      </c>
      <c r="E613" s="16" t="s">
        <v>87</v>
      </c>
      <c r="F613" s="3"/>
      <c r="G613" s="8"/>
      <c r="H613" s="8"/>
      <c r="I613" s="8"/>
    </row>
    <row r="614" spans="1:9" x14ac:dyDescent="0.25">
      <c r="A614" s="4" t="s">
        <v>478</v>
      </c>
      <c r="B614" s="4" t="s">
        <v>353</v>
      </c>
      <c r="C614" s="4" t="s">
        <v>77</v>
      </c>
      <c r="D614" s="16" t="s">
        <v>88</v>
      </c>
      <c r="E614" s="16" t="s">
        <v>88</v>
      </c>
      <c r="F614" s="3"/>
      <c r="G614" s="8"/>
      <c r="H614" s="8"/>
      <c r="I614" s="8"/>
    </row>
    <row r="615" spans="1:9" x14ac:dyDescent="0.25">
      <c r="A615" s="4" t="s">
        <v>478</v>
      </c>
      <c r="B615" s="4" t="s">
        <v>353</v>
      </c>
      <c r="C615" s="4" t="s">
        <v>77</v>
      </c>
      <c r="D615" s="16" t="s">
        <v>99</v>
      </c>
      <c r="E615" s="16" t="s">
        <v>99</v>
      </c>
      <c r="F615" s="3"/>
      <c r="G615" s="8"/>
      <c r="H615" s="8"/>
      <c r="I615" s="8"/>
    </row>
    <row r="616" spans="1:9" x14ac:dyDescent="0.25">
      <c r="A616" s="4" t="s">
        <v>478</v>
      </c>
      <c r="B616" s="4" t="s">
        <v>353</v>
      </c>
      <c r="C616" s="4" t="s">
        <v>77</v>
      </c>
      <c r="D616" s="16" t="s">
        <v>100</v>
      </c>
      <c r="E616" s="16" t="s">
        <v>101</v>
      </c>
      <c r="F616" s="3"/>
      <c r="G616" s="8"/>
      <c r="H616" s="8"/>
      <c r="I616" s="8"/>
    </row>
    <row r="617" spans="1:9" x14ac:dyDescent="0.25">
      <c r="A617" s="4" t="s">
        <v>478</v>
      </c>
      <c r="B617" s="4" t="s">
        <v>353</v>
      </c>
      <c r="C617" s="4" t="s">
        <v>77</v>
      </c>
      <c r="D617" s="16" t="s">
        <v>102</v>
      </c>
      <c r="E617" s="16" t="s">
        <v>102</v>
      </c>
      <c r="F617" s="3"/>
      <c r="G617" s="8"/>
      <c r="H617" s="8"/>
      <c r="I617" s="8"/>
    </row>
    <row r="618" spans="1:9" ht="30" x14ac:dyDescent="0.25">
      <c r="A618" s="4" t="s">
        <v>478</v>
      </c>
      <c r="B618" s="4" t="s">
        <v>353</v>
      </c>
      <c r="C618" s="4" t="s">
        <v>77</v>
      </c>
      <c r="D618" s="16" t="s">
        <v>354</v>
      </c>
      <c r="E618" s="16" t="s">
        <v>419</v>
      </c>
      <c r="F618" s="3"/>
      <c r="G618" s="8"/>
      <c r="H618" s="8"/>
      <c r="I618" s="8"/>
    </row>
    <row r="619" spans="1:9" x14ac:dyDescent="0.25">
      <c r="A619" s="4" t="s">
        <v>478</v>
      </c>
      <c r="B619" s="4" t="s">
        <v>353</v>
      </c>
      <c r="C619" s="4" t="s">
        <v>77</v>
      </c>
      <c r="D619" s="16" t="s">
        <v>107</v>
      </c>
      <c r="E619" s="16" t="s">
        <v>89</v>
      </c>
      <c r="F619" s="3"/>
      <c r="G619" s="8"/>
      <c r="H619" s="8"/>
      <c r="I619" s="8"/>
    </row>
    <row r="620" spans="1:9" x14ac:dyDescent="0.25">
      <c r="A620" s="4" t="s">
        <v>478</v>
      </c>
      <c r="B620" s="4" t="s">
        <v>353</v>
      </c>
      <c r="C620" s="4" t="s">
        <v>77</v>
      </c>
      <c r="D620" s="16" t="s">
        <v>355</v>
      </c>
      <c r="E620" s="16" t="s">
        <v>355</v>
      </c>
      <c r="F620" s="3"/>
      <c r="G620" s="8"/>
      <c r="H620" s="8"/>
      <c r="I620" s="8"/>
    </row>
    <row r="621" spans="1:9" x14ac:dyDescent="0.25">
      <c r="A621" s="4" t="s">
        <v>478</v>
      </c>
      <c r="B621" s="4" t="s">
        <v>353</v>
      </c>
      <c r="C621" s="4" t="s">
        <v>77</v>
      </c>
      <c r="D621" s="16" t="s">
        <v>356</v>
      </c>
      <c r="E621" s="16" t="s">
        <v>356</v>
      </c>
      <c r="F621" s="3"/>
      <c r="G621" s="8"/>
      <c r="H621" s="8"/>
      <c r="I621" s="8"/>
    </row>
    <row r="622" spans="1:9" x14ac:dyDescent="0.25">
      <c r="A622" s="4" t="s">
        <v>478</v>
      </c>
      <c r="B622" s="4" t="s">
        <v>353</v>
      </c>
      <c r="C622" s="4" t="s">
        <v>77</v>
      </c>
      <c r="D622" s="16" t="s">
        <v>357</v>
      </c>
      <c r="E622" s="16" t="s">
        <v>357</v>
      </c>
      <c r="F622" s="3"/>
      <c r="G622" s="8"/>
      <c r="H622" s="8"/>
      <c r="I622" s="8"/>
    </row>
    <row r="623" spans="1:9" x14ac:dyDescent="0.25">
      <c r="A623" s="4" t="s">
        <v>478</v>
      </c>
      <c r="B623" s="4" t="s">
        <v>353</v>
      </c>
      <c r="C623" s="4" t="s">
        <v>77</v>
      </c>
      <c r="D623" s="16" t="s">
        <v>358</v>
      </c>
      <c r="E623" s="16" t="s">
        <v>358</v>
      </c>
      <c r="F623" s="3"/>
      <c r="G623" s="8"/>
      <c r="H623" s="8"/>
      <c r="I623" s="8"/>
    </row>
    <row r="624" spans="1:9" x14ac:dyDescent="0.25">
      <c r="A624" s="4" t="s">
        <v>478</v>
      </c>
      <c r="B624" s="4" t="s">
        <v>353</v>
      </c>
      <c r="C624" s="4" t="s">
        <v>77</v>
      </c>
      <c r="D624" s="16" t="s">
        <v>359</v>
      </c>
      <c r="E624" s="16" t="s">
        <v>359</v>
      </c>
      <c r="F624" s="3"/>
      <c r="G624" s="8"/>
      <c r="H624" s="8"/>
      <c r="I624" s="8"/>
    </row>
    <row r="625" spans="1:9" x14ac:dyDescent="0.25">
      <c r="A625" s="4" t="s">
        <v>478</v>
      </c>
      <c r="B625" s="4" t="s">
        <v>353</v>
      </c>
      <c r="C625" s="4" t="s">
        <v>77</v>
      </c>
      <c r="D625" s="16" t="s">
        <v>360</v>
      </c>
      <c r="E625" s="16" t="s">
        <v>360</v>
      </c>
      <c r="F625" s="3"/>
      <c r="G625" s="8"/>
      <c r="H625" s="8"/>
      <c r="I625" s="8"/>
    </row>
    <row r="626" spans="1:9" x14ac:dyDescent="0.25">
      <c r="A626" s="4" t="s">
        <v>478</v>
      </c>
      <c r="B626" s="4" t="s">
        <v>353</v>
      </c>
      <c r="C626" s="4" t="s">
        <v>77</v>
      </c>
      <c r="D626" s="16" t="s">
        <v>361</v>
      </c>
      <c r="E626" s="16" t="s">
        <v>361</v>
      </c>
      <c r="F626" s="3"/>
      <c r="G626" s="8"/>
      <c r="H626" s="8"/>
      <c r="I626" s="8"/>
    </row>
    <row r="627" spans="1:9" ht="30" x14ac:dyDescent="0.25">
      <c r="A627" s="4" t="s">
        <v>478</v>
      </c>
      <c r="B627" s="4" t="s">
        <v>353</v>
      </c>
      <c r="C627" s="4" t="s">
        <v>95</v>
      </c>
      <c r="D627" s="16" t="e">
        <f>I627&amp;".txt"</f>
        <v>#REF!</v>
      </c>
      <c r="E627" s="16" t="s">
        <v>81</v>
      </c>
      <c r="F627" s="3"/>
      <c r="G627" s="16" t="s">
        <v>2</v>
      </c>
      <c r="H627" s="16" t="s">
        <v>59</v>
      </c>
      <c r="I627" s="16" t="e">
        <f>VLOOKUP(A627&amp;G627&amp;H627,#REF!,2,FALSE)</f>
        <v>#REF!</v>
      </c>
    </row>
    <row r="628" spans="1:9" x14ac:dyDescent="0.25">
      <c r="G628" s="8"/>
      <c r="H628" s="8"/>
      <c r="I628" s="8"/>
    </row>
    <row r="650" spans="6:9" x14ac:dyDescent="0.25">
      <c r="F650" s="8"/>
      <c r="G650" s="8"/>
      <c r="H650" s="8"/>
      <c r="I650" s="8"/>
    </row>
    <row r="651" spans="6:9" x14ac:dyDescent="0.25">
      <c r="G651" s="8"/>
      <c r="H651" s="8"/>
      <c r="I651" s="8"/>
    </row>
    <row r="652" spans="6:9" x14ac:dyDescent="0.25">
      <c r="G652" s="8"/>
      <c r="H652" s="8"/>
      <c r="I652" s="8"/>
    </row>
    <row r="653" spans="6:9" x14ac:dyDescent="0.25">
      <c r="G653" s="8"/>
      <c r="H653" s="8"/>
      <c r="I653" s="8"/>
    </row>
    <row r="654" spans="6:9" x14ac:dyDescent="0.25">
      <c r="G654" s="8"/>
      <c r="H654" s="8"/>
      <c r="I654" s="8"/>
    </row>
    <row r="655" spans="6:9" x14ac:dyDescent="0.25">
      <c r="G655" s="8"/>
      <c r="H655" s="8"/>
      <c r="I655" s="8"/>
    </row>
    <row r="656" spans="6:9" x14ac:dyDescent="0.25">
      <c r="G656" s="8"/>
      <c r="H656" s="8"/>
      <c r="I656" s="8"/>
    </row>
    <row r="657" spans="1:9" x14ac:dyDescent="0.25">
      <c r="A657" s="4" t="s">
        <v>880</v>
      </c>
      <c r="B657" s="4" t="s">
        <v>353</v>
      </c>
      <c r="C657" s="4" t="s">
        <v>77</v>
      </c>
      <c r="D657" s="16" t="s">
        <v>84</v>
      </c>
      <c r="E657" s="16" t="s">
        <v>81</v>
      </c>
      <c r="F657" s="3"/>
      <c r="G657" s="8"/>
      <c r="H657" s="8"/>
      <c r="I657" s="8"/>
    </row>
    <row r="658" spans="1:9" x14ac:dyDescent="0.25">
      <c r="A658" s="4" t="s">
        <v>880</v>
      </c>
      <c r="B658" s="4" t="s">
        <v>353</v>
      </c>
      <c r="C658" s="4" t="s">
        <v>77</v>
      </c>
      <c r="D658" s="16" t="s">
        <v>82</v>
      </c>
      <c r="E658" s="16" t="s">
        <v>79</v>
      </c>
      <c r="F658" s="3"/>
      <c r="G658" s="8"/>
      <c r="H658" s="8"/>
      <c r="I658" s="8"/>
    </row>
    <row r="659" spans="1:9" x14ac:dyDescent="0.25">
      <c r="A659" s="4" t="s">
        <v>880</v>
      </c>
      <c r="B659" s="4" t="s">
        <v>353</v>
      </c>
      <c r="C659" s="4" t="s">
        <v>77</v>
      </c>
      <c r="D659" s="16" t="s">
        <v>85</v>
      </c>
      <c r="E659" s="16" t="s">
        <v>85</v>
      </c>
      <c r="F659" s="3"/>
      <c r="G659" s="8"/>
      <c r="H659" s="8"/>
      <c r="I659" s="8"/>
    </row>
    <row r="660" spans="1:9" x14ac:dyDescent="0.25">
      <c r="A660" s="4" t="s">
        <v>880</v>
      </c>
      <c r="B660" s="4" t="s">
        <v>353</v>
      </c>
      <c r="C660" s="4" t="s">
        <v>77</v>
      </c>
      <c r="D660" s="16" t="s">
        <v>86</v>
      </c>
      <c r="E660" s="16" t="s">
        <v>87</v>
      </c>
      <c r="F660" s="3"/>
      <c r="G660" s="8"/>
      <c r="H660" s="8"/>
      <c r="I660" s="8"/>
    </row>
    <row r="661" spans="1:9" x14ac:dyDescent="0.25">
      <c r="A661" s="4" t="s">
        <v>880</v>
      </c>
      <c r="B661" s="4" t="s">
        <v>353</v>
      </c>
      <c r="C661" s="4" t="s">
        <v>77</v>
      </c>
      <c r="D661" s="16" t="s">
        <v>88</v>
      </c>
      <c r="E661" s="16" t="s">
        <v>88</v>
      </c>
      <c r="F661" s="3"/>
      <c r="G661" s="8"/>
      <c r="H661" s="8"/>
      <c r="I661" s="8"/>
    </row>
    <row r="662" spans="1:9" x14ac:dyDescent="0.25">
      <c r="A662" s="4" t="s">
        <v>880</v>
      </c>
      <c r="B662" s="4" t="s">
        <v>353</v>
      </c>
      <c r="C662" s="4" t="s">
        <v>77</v>
      </c>
      <c r="D662" s="16" t="s">
        <v>99</v>
      </c>
      <c r="E662" s="16" t="s">
        <v>99</v>
      </c>
      <c r="F662" s="3"/>
      <c r="G662" s="8"/>
      <c r="H662" s="8"/>
      <c r="I662" s="8"/>
    </row>
    <row r="663" spans="1:9" x14ac:dyDescent="0.25">
      <c r="A663" s="4" t="s">
        <v>880</v>
      </c>
      <c r="B663" s="4" t="s">
        <v>353</v>
      </c>
      <c r="C663" s="4" t="s">
        <v>77</v>
      </c>
      <c r="D663" s="16" t="s">
        <v>100</v>
      </c>
      <c r="E663" s="16" t="s">
        <v>101</v>
      </c>
      <c r="F663" s="3"/>
      <c r="G663" s="8"/>
      <c r="H663" s="8"/>
      <c r="I663" s="8"/>
    </row>
    <row r="664" spans="1:9" x14ac:dyDescent="0.25">
      <c r="A664" s="4" t="s">
        <v>880</v>
      </c>
      <c r="B664" s="4" t="s">
        <v>353</v>
      </c>
      <c r="C664" s="4" t="s">
        <v>77</v>
      </c>
      <c r="D664" s="16" t="s">
        <v>102</v>
      </c>
      <c r="E664" s="16" t="s">
        <v>102</v>
      </c>
      <c r="F664" s="3"/>
      <c r="G664" s="8"/>
      <c r="H664" s="8"/>
      <c r="I664" s="8"/>
    </row>
    <row r="665" spans="1:9" ht="30" x14ac:dyDescent="0.25">
      <c r="A665" s="4" t="s">
        <v>880</v>
      </c>
      <c r="B665" s="4" t="s">
        <v>353</v>
      </c>
      <c r="C665" s="4" t="s">
        <v>77</v>
      </c>
      <c r="D665" s="16" t="s">
        <v>354</v>
      </c>
      <c r="E665" s="16" t="s">
        <v>79</v>
      </c>
      <c r="F665" s="16" t="s">
        <v>104</v>
      </c>
      <c r="G665" s="8"/>
      <c r="H665" s="8"/>
      <c r="I665" s="8"/>
    </row>
    <row r="666" spans="1:9" x14ac:dyDescent="0.25">
      <c r="A666" s="4" t="s">
        <v>880</v>
      </c>
      <c r="B666" s="4" t="s">
        <v>353</v>
      </c>
      <c r="C666" s="4" t="s">
        <v>77</v>
      </c>
      <c r="D666" s="16" t="s">
        <v>107</v>
      </c>
      <c r="E666" s="16" t="s">
        <v>89</v>
      </c>
      <c r="F666" s="3"/>
      <c r="G666" s="8"/>
      <c r="H666" s="8"/>
      <c r="I666" s="8"/>
    </row>
    <row r="667" spans="1:9" x14ac:dyDescent="0.25">
      <c r="A667" s="4" t="s">
        <v>880</v>
      </c>
      <c r="B667" s="4" t="s">
        <v>353</v>
      </c>
      <c r="C667" s="4" t="s">
        <v>77</v>
      </c>
      <c r="D667" s="16" t="s">
        <v>355</v>
      </c>
      <c r="E667" s="16" t="s">
        <v>355</v>
      </c>
      <c r="F667" s="3"/>
      <c r="G667" s="8"/>
      <c r="H667" s="8"/>
      <c r="I667" s="8"/>
    </row>
    <row r="668" spans="1:9" x14ac:dyDescent="0.25">
      <c r="A668" s="4" t="s">
        <v>880</v>
      </c>
      <c r="B668" s="4" t="s">
        <v>353</v>
      </c>
      <c r="C668" s="4" t="s">
        <v>77</v>
      </c>
      <c r="D668" s="16" t="s">
        <v>356</v>
      </c>
      <c r="E668" s="16" t="s">
        <v>356</v>
      </c>
      <c r="F668" s="3"/>
      <c r="G668" s="8"/>
      <c r="H668" s="8"/>
      <c r="I668" s="8"/>
    </row>
    <row r="669" spans="1:9" x14ac:dyDescent="0.25">
      <c r="A669" s="4" t="s">
        <v>880</v>
      </c>
      <c r="B669" s="4" t="s">
        <v>353</v>
      </c>
      <c r="C669" s="4" t="s">
        <v>77</v>
      </c>
      <c r="D669" s="16" t="s">
        <v>357</v>
      </c>
      <c r="E669" s="16" t="s">
        <v>357</v>
      </c>
      <c r="F669" s="3"/>
      <c r="G669" s="8"/>
      <c r="H669" s="8"/>
      <c r="I669" s="8"/>
    </row>
    <row r="670" spans="1:9" x14ac:dyDescent="0.25">
      <c r="A670" s="4" t="s">
        <v>880</v>
      </c>
      <c r="B670" s="4" t="s">
        <v>353</v>
      </c>
      <c r="C670" s="4" t="s">
        <v>77</v>
      </c>
      <c r="D670" s="16" t="s">
        <v>358</v>
      </c>
      <c r="E670" s="16" t="s">
        <v>358</v>
      </c>
      <c r="F670" s="3"/>
      <c r="G670" s="8"/>
      <c r="H670" s="8"/>
      <c r="I670" s="8"/>
    </row>
    <row r="671" spans="1:9" x14ac:dyDescent="0.25">
      <c r="A671" s="4" t="s">
        <v>880</v>
      </c>
      <c r="B671" s="4" t="s">
        <v>353</v>
      </c>
      <c r="C671" s="4" t="s">
        <v>77</v>
      </c>
      <c r="D671" s="16" t="s">
        <v>359</v>
      </c>
      <c r="E671" s="16" t="s">
        <v>359</v>
      </c>
      <c r="F671" s="3"/>
      <c r="G671" s="8"/>
      <c r="H671" s="8"/>
      <c r="I671" s="8"/>
    </row>
    <row r="672" spans="1:9" x14ac:dyDescent="0.25">
      <c r="A672" s="4" t="s">
        <v>880</v>
      </c>
      <c r="B672" s="4" t="s">
        <v>353</v>
      </c>
      <c r="C672" s="4" t="s">
        <v>77</v>
      </c>
      <c r="D672" s="16" t="s">
        <v>360</v>
      </c>
      <c r="E672" s="16" t="s">
        <v>360</v>
      </c>
      <c r="F672" s="3"/>
      <c r="G672" s="8"/>
      <c r="H672" s="8"/>
      <c r="I672" s="8"/>
    </row>
    <row r="673" spans="1:9" x14ac:dyDescent="0.25">
      <c r="A673" s="4" t="s">
        <v>880</v>
      </c>
      <c r="B673" s="4" t="s">
        <v>353</v>
      </c>
      <c r="C673" s="4" t="s">
        <v>77</v>
      </c>
      <c r="D673" s="16" t="s">
        <v>361</v>
      </c>
      <c r="E673" s="16" t="s">
        <v>361</v>
      </c>
      <c r="F673" s="3"/>
      <c r="G673" s="8"/>
      <c r="H673" s="8"/>
      <c r="I673" s="8"/>
    </row>
    <row r="674" spans="1:9" ht="30" x14ac:dyDescent="0.25">
      <c r="A674" s="4" t="s">
        <v>880</v>
      </c>
      <c r="B674" s="4" t="s">
        <v>353</v>
      </c>
      <c r="C674" s="4" t="s">
        <v>95</v>
      </c>
      <c r="D674" s="16" t="e">
        <f>I674&amp;".txt"</f>
        <v>#REF!</v>
      </c>
      <c r="E674" s="16" t="s">
        <v>81</v>
      </c>
      <c r="F674" s="3"/>
      <c r="G674" s="16" t="s">
        <v>2</v>
      </c>
      <c r="H674" s="16" t="s">
        <v>59</v>
      </c>
      <c r="I674" s="16" t="e">
        <f>VLOOKUP(A674&amp;G674&amp;H674,#REF!,2,FALSE)</f>
        <v>#REF!</v>
      </c>
    </row>
    <row r="675" spans="1:9" x14ac:dyDescent="0.25">
      <c r="G675" s="8"/>
      <c r="H675" s="8"/>
      <c r="I675" s="8"/>
    </row>
  </sheetData>
  <autoFilter ref="A2:J675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Execute">
                <anchor moveWithCells="1" sizeWithCells="1">
                  <from>
                    <xdr:col>4</xdr:col>
                    <xdr:colOff>895350</xdr:colOff>
                    <xdr:row>0</xdr:row>
                    <xdr:rowOff>85725</xdr:rowOff>
                  </from>
                  <to>
                    <xdr:col>4</xdr:col>
                    <xdr:colOff>2857500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Projects</vt:lpstr>
      <vt:lpstr>Artefact Types</vt:lpstr>
      <vt:lpstr>Views</vt:lpstr>
      <vt:lpstr>Baselines</vt:lpstr>
      <vt:lpstr>System Data</vt:lpstr>
      <vt:lpstr>Lookups</vt:lpstr>
      <vt:lpstr>Data (SS)</vt:lpstr>
      <vt:lpstr>Artefacts</vt:lpstr>
      <vt:lpstr>Exports_Base</vt:lpstr>
      <vt:lpstr>Projects</vt:lpstr>
      <vt:lpstr>VandV_Phase</vt:lpstr>
    </vt:vector>
  </TitlesOfParts>
  <Company>John Holland Group Monthly Enterprise Channel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 Rolih-JHG</dc:creator>
  <cp:lastModifiedBy>Prince Punshi-JHG</cp:lastModifiedBy>
  <cp:lastPrinted>2022-06-17T11:53:25Z</cp:lastPrinted>
  <dcterms:created xsi:type="dcterms:W3CDTF">2021-11-14T00:24:29Z</dcterms:created>
  <dcterms:modified xsi:type="dcterms:W3CDTF">2025-02-06T03:03:16Z</dcterms:modified>
</cp:coreProperties>
</file>